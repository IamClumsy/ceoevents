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k/Documents/ApexGirl/CEO Calculators/src/"/>
    </mc:Choice>
  </mc:AlternateContent>
  <xr:revisionPtr revIDLastSave="0" documentId="8_{88E94718-E541-DF41-8344-69A68DFA49C3}" xr6:coauthVersionLast="47" xr6:coauthVersionMax="47" xr10:uidLastSave="{00000000-0000-0000-0000-000000000000}"/>
  <bookViews>
    <workbookView xWindow="4700" yWindow="3200" windowWidth="27240" windowHeight="16440" xr2:uid="{D8ED658E-D9C5-E147-BCF7-90ED8C2B9D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2" i="1" l="1"/>
  <c r="E82" i="1"/>
  <c r="K81" i="1"/>
  <c r="E81" i="1"/>
  <c r="K80" i="1"/>
  <c r="E80" i="1"/>
  <c r="K79" i="1"/>
  <c r="E79" i="1"/>
  <c r="K78" i="1"/>
  <c r="E78" i="1"/>
  <c r="K77" i="1"/>
  <c r="E77" i="1"/>
  <c r="K76" i="1"/>
  <c r="E76" i="1"/>
  <c r="K75" i="1"/>
  <c r="E75" i="1"/>
  <c r="K74" i="1"/>
  <c r="E74" i="1"/>
  <c r="K73" i="1"/>
  <c r="E73" i="1"/>
  <c r="K72" i="1"/>
  <c r="K83" i="1" s="1"/>
  <c r="E72" i="1"/>
  <c r="E83" i="1" s="1"/>
  <c r="K70" i="1"/>
  <c r="E70" i="1"/>
  <c r="K69" i="1"/>
  <c r="E69" i="1"/>
  <c r="K68" i="1"/>
  <c r="E68" i="1"/>
  <c r="K67" i="1"/>
  <c r="E67" i="1"/>
  <c r="K66" i="1"/>
  <c r="E66" i="1"/>
  <c r="K65" i="1"/>
  <c r="E65" i="1"/>
  <c r="K64" i="1"/>
  <c r="E64" i="1"/>
  <c r="K63" i="1"/>
  <c r="E63" i="1"/>
  <c r="K62" i="1"/>
  <c r="E62" i="1"/>
  <c r="K61" i="1"/>
  <c r="E61" i="1"/>
  <c r="E71" i="1" s="1"/>
  <c r="K60" i="1"/>
  <c r="E60" i="1"/>
  <c r="K58" i="1"/>
  <c r="E58" i="1"/>
  <c r="K57" i="1"/>
  <c r="E57" i="1"/>
  <c r="K56" i="1"/>
  <c r="E56" i="1"/>
  <c r="K55" i="1"/>
  <c r="E55" i="1"/>
  <c r="K54" i="1"/>
  <c r="E54" i="1"/>
  <c r="K53" i="1"/>
  <c r="E53" i="1"/>
  <c r="K52" i="1"/>
  <c r="E52" i="1"/>
  <c r="K51" i="1"/>
  <c r="E51" i="1"/>
  <c r="K50" i="1"/>
  <c r="E50" i="1"/>
  <c r="K49" i="1"/>
  <c r="E49" i="1"/>
  <c r="K48" i="1"/>
  <c r="E48" i="1"/>
  <c r="K47" i="1"/>
  <c r="E47" i="1"/>
  <c r="K46" i="1"/>
  <c r="E46" i="1"/>
  <c r="K45" i="1"/>
  <c r="E45" i="1"/>
  <c r="K43" i="1"/>
  <c r="E43" i="1"/>
  <c r="K42" i="1"/>
  <c r="E42" i="1"/>
  <c r="K41" i="1"/>
  <c r="E41" i="1"/>
  <c r="K40" i="1"/>
  <c r="E40" i="1"/>
  <c r="K39" i="1"/>
  <c r="E39" i="1"/>
  <c r="K38" i="1"/>
  <c r="E38" i="1"/>
  <c r="K37" i="1"/>
  <c r="E37" i="1"/>
  <c r="K36" i="1"/>
  <c r="E36" i="1"/>
  <c r="K35" i="1"/>
  <c r="E35" i="1"/>
  <c r="K34" i="1"/>
  <c r="E34" i="1"/>
  <c r="K33" i="1"/>
  <c r="E33" i="1"/>
  <c r="K32" i="1"/>
  <c r="E32" i="1"/>
  <c r="K31" i="1"/>
  <c r="E31" i="1"/>
  <c r="K29" i="1"/>
  <c r="E29" i="1"/>
  <c r="K28" i="1"/>
  <c r="E28" i="1"/>
  <c r="K27" i="1"/>
  <c r="E27" i="1"/>
  <c r="K26" i="1"/>
  <c r="E26" i="1"/>
  <c r="K25" i="1"/>
  <c r="E25" i="1"/>
  <c r="K24" i="1"/>
  <c r="E24" i="1"/>
  <c r="K23" i="1"/>
  <c r="E23" i="1"/>
  <c r="K22" i="1"/>
  <c r="E22" i="1"/>
  <c r="K21" i="1"/>
  <c r="E21" i="1"/>
  <c r="K20" i="1"/>
  <c r="E20" i="1"/>
  <c r="K19" i="1"/>
  <c r="E19" i="1"/>
  <c r="K18" i="1"/>
  <c r="K30" i="1" s="1"/>
  <c r="E18" i="1"/>
  <c r="E30" i="1" s="1"/>
  <c r="K16" i="1"/>
  <c r="E16" i="1"/>
  <c r="K15" i="1"/>
  <c r="E15" i="1"/>
  <c r="K14" i="1"/>
  <c r="E14" i="1"/>
  <c r="K13" i="1"/>
  <c r="E13" i="1"/>
  <c r="K12" i="1"/>
  <c r="E12" i="1"/>
  <c r="K11" i="1"/>
  <c r="E11" i="1"/>
  <c r="K10" i="1"/>
  <c r="E10" i="1"/>
  <c r="K9" i="1"/>
  <c r="E9" i="1"/>
  <c r="K8" i="1"/>
  <c r="E8" i="1"/>
  <c r="K7" i="1"/>
  <c r="E7" i="1"/>
  <c r="K6" i="1"/>
  <c r="E6" i="1"/>
  <c r="K5" i="1"/>
  <c r="E5" i="1"/>
  <c r="K4" i="1"/>
  <c r="K17" i="1" s="1"/>
  <c r="E4" i="1"/>
  <c r="E59" i="1" l="1"/>
  <c r="E44" i="1"/>
  <c r="E17" i="1"/>
  <c r="K71" i="1"/>
  <c r="K59" i="1"/>
  <c r="K44" i="1"/>
  <c r="E85" i="1"/>
  <c r="K85" i="1"/>
</calcChain>
</file>

<file path=xl/sharedStrings.xml><?xml version="1.0" encoding="utf-8"?>
<sst xmlns="http://schemas.openxmlformats.org/spreadsheetml/2006/main" count="185" uniqueCount="63">
  <si>
    <t>Calculation points for events</t>
  </si>
  <si>
    <t>TOP CEO EVENT</t>
  </si>
  <si>
    <t>ULTIMATE CEO EVENT</t>
  </si>
  <si>
    <t>Task</t>
  </si>
  <si>
    <t>Points</t>
  </si>
  <si>
    <t>Used</t>
  </si>
  <si>
    <t>Score</t>
  </si>
  <si>
    <t>Vehicle</t>
  </si>
  <si>
    <t>Use 1 item(s) to upgrade car parts</t>
  </si>
  <si>
    <t>Use 1 item(s) to promote car</t>
  </si>
  <si>
    <t>Use Spark Plugs (Novice)</t>
  </si>
  <si>
    <t>Use Ignition Coil (Novice)</t>
  </si>
  <si>
    <t>Use Spark Plugs (Enhanced)</t>
  </si>
  <si>
    <t>Use Ignition Coil (Enhanced)</t>
  </si>
  <si>
    <t>Use Spark Plugs (Elite)</t>
  </si>
  <si>
    <t>Use Ignition Coil (Elite)</t>
  </si>
  <si>
    <t>Use Gold Bar</t>
  </si>
  <si>
    <t>Record Single</t>
  </si>
  <si>
    <t>Use EXP Card x24</t>
  </si>
  <si>
    <t>Perform in Concert</t>
  </si>
  <si>
    <t>Perform in Stadium</t>
  </si>
  <si>
    <t>TOTAL</t>
  </si>
  <si>
    <t>Headquarters</t>
  </si>
  <si>
    <t>Use Glass x1</t>
  </si>
  <si>
    <t>Use Basic Wood x1</t>
  </si>
  <si>
    <t>Use Basic Steel Ingots x1</t>
  </si>
  <si>
    <t>Use High-Quality Wood x1</t>
  </si>
  <si>
    <t>Use High-Quality Steel Ingots x1</t>
  </si>
  <si>
    <t>Use Premium Wood x1</t>
  </si>
  <si>
    <t>Use Premium Steel Ingots x1</t>
  </si>
  <si>
    <t>Collectibles</t>
  </si>
  <si>
    <t>Use Collection Gems (Super Rare)</t>
  </si>
  <si>
    <t>Use Collection Gems (Legendary)</t>
  </si>
  <si>
    <t>Use Basic Sandstone</t>
  </si>
  <si>
    <t>Use Basic Tile</t>
  </si>
  <si>
    <t>Use High-Quality Sandstone</t>
  </si>
  <si>
    <t>Use High-Quality Tile</t>
  </si>
  <si>
    <t>Use Premium Sandstone</t>
  </si>
  <si>
    <t>Use Premium Tile</t>
  </si>
  <si>
    <t>Total</t>
  </si>
  <si>
    <t>Villa</t>
  </si>
  <si>
    <t>Play Beauty Slot Machine</t>
  </si>
  <si>
    <t>Use Construction Drones</t>
  </si>
  <si>
    <t>Use Villa Design Draft</t>
  </si>
  <si>
    <t>Use CEO's Coins Basic</t>
  </si>
  <si>
    <t>Use Villa Key Basic</t>
  </si>
  <si>
    <t>Use CEO's Coins High-Quality</t>
  </si>
  <si>
    <t>Use Villa Key High-Quality</t>
  </si>
  <si>
    <t>Use CEO's Coins Premium</t>
  </si>
  <si>
    <t>Use Villa Key Premium</t>
  </si>
  <si>
    <t>Artist</t>
  </si>
  <si>
    <t>Use Asset Coins</t>
  </si>
  <si>
    <t>Use SR Promotion Cards</t>
  </si>
  <si>
    <t>Use SSR Promotion Cards</t>
  </si>
  <si>
    <t>Use SR Private Photo</t>
  </si>
  <si>
    <t>Use SSR Private Photo</t>
  </si>
  <si>
    <t>Battle</t>
  </si>
  <si>
    <t>Acquire x1 Fans with single</t>
  </si>
  <si>
    <t>Defeat 1 enemy Fans</t>
  </si>
  <si>
    <t>Earn Gold Bar in the Hotel</t>
  </si>
  <si>
    <t>Use Blueprint point</t>
  </si>
  <si>
    <t>Get Demo</t>
  </si>
  <si>
    <t>APPROXIMATE TOTAL FOR ALL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</si>
</sst>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charset val="204"/>
      <scheme val="minor"/>
    </font>
    <font>
      <b/>
      <sz val="10"/>
      <color rgb="FF000000"/>
      <name val="Aptos Narrow"/>
      <family val="2"/>
      <charset val="204"/>
      <scheme val="minor"/>
    </font>
    <font>
      <sz val="10"/>
      <color rgb="FF000000"/>
      <name val="Aptos Narrow"/>
      <family val="2"/>
      <charset val="204"/>
      <scheme val="minor"/>
    </font>
    <font>
      <sz val="9"/>
      <color theme="1"/>
      <name val="Calibri"/>
      <family val="2"/>
    </font>
    <font>
      <b/>
      <sz val="11"/>
      <color theme="1"/>
      <name val="Calibri"/>
      <family val="2"/>
      <charset val="204"/>
    </font>
    <font>
      <b/>
      <sz val="9"/>
      <color theme="1"/>
      <name val="Calibri"/>
      <family val="2"/>
      <charset val="204"/>
    </font>
    <font>
      <sz val="9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textRotation="255"/>
    </xf>
    <xf numFmtId="0" fontId="3" fillId="0" borderId="0" xfId="0" applyFont="1"/>
    <xf numFmtId="3" fontId="4" fillId="0" borderId="0" xfId="0" applyNumberFormat="1" applyFont="1" applyAlignment="1">
      <alignment vertical="center"/>
    </xf>
    <xf numFmtId="3" fontId="4" fillId="0" borderId="1" xfId="0" applyNumberFormat="1" applyFont="1" applyBorder="1" applyAlignment="1">
      <alignment vertical="center"/>
    </xf>
    <xf numFmtId="0" fontId="0" fillId="0" borderId="2" xfId="0" applyBorder="1"/>
    <xf numFmtId="0" fontId="3" fillId="2" borderId="2" xfId="0" applyFont="1" applyFill="1" applyBorder="1" applyAlignment="1">
      <alignment horizontal="center"/>
    </xf>
    <xf numFmtId="0" fontId="4" fillId="0" borderId="2" xfId="0" applyFont="1" applyBorder="1" applyAlignment="1">
      <alignment vertical="center"/>
    </xf>
    <xf numFmtId="3" fontId="6" fillId="0" borderId="3" xfId="0" applyNumberFormat="1" applyFont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 textRotation="255"/>
    </xf>
    <xf numFmtId="0" fontId="6" fillId="0" borderId="3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3" fontId="7" fillId="0" borderId="0" xfId="0" applyNumberFormat="1" applyFont="1" applyAlignment="1">
      <alignment vertical="center"/>
    </xf>
    <xf numFmtId="0" fontId="2" fillId="2" borderId="0" xfId="0" applyFont="1" applyFill="1" applyAlignment="1">
      <alignment horizontal="center" vertical="center" textRotation="255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53535-84BE-3F4E-945D-EA02798F356F}">
  <dimension ref="A1:K85"/>
  <sheetViews>
    <sheetView tabSelected="1" topLeftCell="A58" workbookViewId="0">
      <selection activeCell="D74" sqref="D74"/>
    </sheetView>
  </sheetViews>
  <sheetFormatPr baseColWidth="10" defaultRowHeight="16" x14ac:dyDescent="0.2"/>
  <cols>
    <col min="1" max="1" width="7.83203125" customWidth="1"/>
    <col min="2" max="2" width="23.83203125" bestFit="1" customWidth="1"/>
    <col min="3" max="3" width="10.1640625" bestFit="1" customWidth="1"/>
    <col min="7" max="7" width="7.83203125" customWidth="1"/>
    <col min="8" max="8" width="23.83203125" bestFit="1" customWidth="1"/>
    <col min="9" max="9" width="10.1640625" bestFit="1" customWidth="1"/>
    <col min="10" max="10" width="7" bestFit="1" customWidth="1"/>
  </cols>
  <sheetData>
    <row r="1" spans="1:1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">
      <c r="B2" s="2" t="s">
        <v>1</v>
      </c>
      <c r="C2" s="3"/>
      <c r="D2" s="3"/>
      <c r="E2" s="4"/>
      <c r="F2" s="5"/>
      <c r="G2" s="2" t="s">
        <v>2</v>
      </c>
      <c r="H2" s="3"/>
      <c r="I2" s="3"/>
      <c r="J2" s="6"/>
      <c r="K2" s="7"/>
    </row>
    <row r="3" spans="1:11" x14ac:dyDescent="0.2">
      <c r="B3" s="8" t="s">
        <v>3</v>
      </c>
      <c r="C3" s="8" t="s">
        <v>4</v>
      </c>
      <c r="D3" s="9" t="s">
        <v>5</v>
      </c>
      <c r="E3" s="10" t="s">
        <v>6</v>
      </c>
      <c r="F3" s="9"/>
      <c r="H3" s="8" t="s">
        <v>3</v>
      </c>
      <c r="I3" s="8" t="s">
        <v>4</v>
      </c>
      <c r="J3" s="9" t="s">
        <v>5</v>
      </c>
      <c r="K3" s="10" t="s">
        <v>6</v>
      </c>
    </row>
    <row r="4" spans="1:11" x14ac:dyDescent="0.2">
      <c r="A4" s="11" t="s">
        <v>7</v>
      </c>
      <c r="B4" s="12" t="s">
        <v>8</v>
      </c>
      <c r="C4" s="13">
        <v>500</v>
      </c>
      <c r="D4" s="13">
        <v>10</v>
      </c>
      <c r="E4" s="14">
        <f>D4*C4</f>
        <v>5000</v>
      </c>
      <c r="F4" s="13"/>
      <c r="G4" s="11" t="s">
        <v>7</v>
      </c>
      <c r="H4" s="12" t="s">
        <v>8</v>
      </c>
      <c r="I4" s="13">
        <v>500</v>
      </c>
      <c r="J4" s="13">
        <v>10</v>
      </c>
      <c r="K4" s="14">
        <f>J4*I4</f>
        <v>5000</v>
      </c>
    </row>
    <row r="5" spans="1:11" x14ac:dyDescent="0.2">
      <c r="A5" s="11"/>
      <c r="B5" s="12" t="s">
        <v>9</v>
      </c>
      <c r="C5" s="13">
        <v>2500</v>
      </c>
      <c r="D5" s="13">
        <v>10</v>
      </c>
      <c r="E5" s="14">
        <f t="shared" ref="E5:E16" si="0">D5*C5</f>
        <v>25000</v>
      </c>
      <c r="F5" s="13"/>
      <c r="G5" s="11"/>
      <c r="H5" s="12" t="s">
        <v>9</v>
      </c>
      <c r="I5" s="13">
        <v>2500</v>
      </c>
      <c r="J5" s="13">
        <v>10</v>
      </c>
      <c r="K5" s="14">
        <f t="shared" ref="K5:K16" si="1">J5*I5</f>
        <v>25000</v>
      </c>
    </row>
    <row r="6" spans="1:11" x14ac:dyDescent="0.2">
      <c r="A6" s="11"/>
      <c r="B6" s="12" t="s">
        <v>10</v>
      </c>
      <c r="C6" s="13">
        <v>1000</v>
      </c>
      <c r="D6" s="13">
        <v>10</v>
      </c>
      <c r="E6" s="14">
        <f t="shared" si="0"/>
        <v>10000</v>
      </c>
      <c r="F6" s="13"/>
      <c r="G6" s="11"/>
      <c r="H6" s="12" t="s">
        <v>10</v>
      </c>
      <c r="I6" s="13">
        <v>1000</v>
      </c>
      <c r="J6" s="13">
        <v>10</v>
      </c>
      <c r="K6" s="14">
        <f t="shared" si="1"/>
        <v>10000</v>
      </c>
    </row>
    <row r="7" spans="1:11" x14ac:dyDescent="0.2">
      <c r="A7" s="11"/>
      <c r="B7" s="12" t="s">
        <v>11</v>
      </c>
      <c r="C7" s="13">
        <v>10000</v>
      </c>
      <c r="D7" s="13">
        <v>10</v>
      </c>
      <c r="E7" s="14">
        <f t="shared" si="0"/>
        <v>100000</v>
      </c>
      <c r="F7" s="13"/>
      <c r="G7" s="11"/>
      <c r="H7" s="12" t="s">
        <v>11</v>
      </c>
      <c r="I7" s="13">
        <v>10000</v>
      </c>
      <c r="J7" s="13">
        <v>10</v>
      </c>
      <c r="K7" s="14">
        <f t="shared" si="1"/>
        <v>100000</v>
      </c>
    </row>
    <row r="8" spans="1:11" x14ac:dyDescent="0.2">
      <c r="A8" s="11"/>
      <c r="B8" s="12" t="s">
        <v>12</v>
      </c>
      <c r="C8" s="13">
        <v>125000</v>
      </c>
      <c r="D8" s="7">
        <v>152</v>
      </c>
      <c r="E8" s="14">
        <f t="shared" si="0"/>
        <v>19000000</v>
      </c>
      <c r="F8" s="13"/>
      <c r="G8" s="11"/>
      <c r="H8" s="12" t="s">
        <v>12</v>
      </c>
      <c r="I8" s="13">
        <v>125000</v>
      </c>
      <c r="J8" s="7">
        <v>152</v>
      </c>
      <c r="K8" s="14">
        <f t="shared" si="1"/>
        <v>19000000</v>
      </c>
    </row>
    <row r="9" spans="1:11" x14ac:dyDescent="0.2">
      <c r="A9" s="11"/>
      <c r="B9" s="12" t="s">
        <v>13</v>
      </c>
      <c r="C9" s="13">
        <v>1250000</v>
      </c>
      <c r="D9" s="7">
        <v>9</v>
      </c>
      <c r="E9" s="14">
        <f t="shared" si="0"/>
        <v>11250000</v>
      </c>
      <c r="F9" s="13"/>
      <c r="G9" s="11"/>
      <c r="H9" s="12" t="s">
        <v>13</v>
      </c>
      <c r="I9" s="13">
        <v>1250000</v>
      </c>
      <c r="J9" s="7">
        <v>9</v>
      </c>
      <c r="K9" s="14">
        <f t="shared" si="1"/>
        <v>11250000</v>
      </c>
    </row>
    <row r="10" spans="1:11" x14ac:dyDescent="0.2">
      <c r="A10" s="11"/>
      <c r="B10" s="12" t="s">
        <v>14</v>
      </c>
      <c r="C10" s="13">
        <v>15625000</v>
      </c>
      <c r="D10" s="7"/>
      <c r="E10" s="14">
        <f t="shared" si="0"/>
        <v>0</v>
      </c>
      <c r="F10" s="13"/>
      <c r="G10" s="11"/>
      <c r="H10" s="12" t="s">
        <v>14</v>
      </c>
      <c r="I10" s="13">
        <v>15625000</v>
      </c>
      <c r="J10" s="7"/>
      <c r="K10" s="14">
        <f t="shared" si="1"/>
        <v>0</v>
      </c>
    </row>
    <row r="11" spans="1:11" x14ac:dyDescent="0.2">
      <c r="A11" s="11"/>
      <c r="B11" s="12" t="s">
        <v>15</v>
      </c>
      <c r="C11" s="13">
        <v>156250000</v>
      </c>
      <c r="D11" s="7"/>
      <c r="E11" s="14">
        <f t="shared" si="0"/>
        <v>0</v>
      </c>
      <c r="F11" s="13"/>
      <c r="G11" s="11"/>
      <c r="H11" s="12" t="s">
        <v>15</v>
      </c>
      <c r="I11" s="13">
        <v>156250000</v>
      </c>
      <c r="J11" s="7"/>
      <c r="K11" s="14">
        <f t="shared" si="1"/>
        <v>0</v>
      </c>
    </row>
    <row r="12" spans="1:11" x14ac:dyDescent="0.2">
      <c r="A12" s="11"/>
      <c r="B12" s="12" t="s">
        <v>16</v>
      </c>
      <c r="C12" s="13">
        <v>1</v>
      </c>
      <c r="D12" s="7"/>
      <c r="E12" s="14">
        <f t="shared" si="0"/>
        <v>0</v>
      </c>
      <c r="F12" s="13"/>
      <c r="G12" s="11"/>
      <c r="H12" s="12" t="s">
        <v>16</v>
      </c>
      <c r="I12" s="13">
        <v>1</v>
      </c>
      <c r="J12" s="7"/>
      <c r="K12" s="14">
        <f t="shared" si="1"/>
        <v>0</v>
      </c>
    </row>
    <row r="13" spans="1:11" x14ac:dyDescent="0.2">
      <c r="A13" s="11"/>
      <c r="B13" s="12" t="s">
        <v>17</v>
      </c>
      <c r="C13" s="13">
        <v>50000</v>
      </c>
      <c r="D13" s="7"/>
      <c r="E13" s="14">
        <f t="shared" si="0"/>
        <v>0</v>
      </c>
      <c r="F13" s="13"/>
      <c r="G13" s="11"/>
      <c r="H13" s="12" t="s">
        <v>17</v>
      </c>
      <c r="I13" s="13">
        <v>50000</v>
      </c>
      <c r="J13" s="7"/>
      <c r="K13" s="14">
        <f t="shared" si="1"/>
        <v>0</v>
      </c>
    </row>
    <row r="14" spans="1:11" x14ac:dyDescent="0.2">
      <c r="A14" s="11"/>
      <c r="B14" s="12" t="s">
        <v>18</v>
      </c>
      <c r="C14" s="13">
        <v>1</v>
      </c>
      <c r="D14" s="7">
        <v>1000000</v>
      </c>
      <c r="E14" s="14">
        <f>(D14*C14)/24</f>
        <v>41666.666666666664</v>
      </c>
      <c r="F14" s="13"/>
      <c r="G14" s="11"/>
      <c r="H14" s="12" t="s">
        <v>18</v>
      </c>
      <c r="I14" s="13">
        <v>1</v>
      </c>
      <c r="J14" s="7">
        <v>1000000</v>
      </c>
      <c r="K14" s="14">
        <f>(J14*I14)/24</f>
        <v>41666.666666666664</v>
      </c>
    </row>
    <row r="15" spans="1:11" x14ac:dyDescent="0.2">
      <c r="A15" s="11"/>
      <c r="B15" s="12" t="s">
        <v>19</v>
      </c>
      <c r="C15" s="13">
        <v>10000</v>
      </c>
      <c r="E15" s="14">
        <f t="shared" si="0"/>
        <v>0</v>
      </c>
      <c r="F15" s="13"/>
      <c r="G15" s="11"/>
      <c r="H15" s="12" t="s">
        <v>19</v>
      </c>
      <c r="I15" s="13">
        <v>10000</v>
      </c>
      <c r="K15" s="14">
        <f t="shared" ref="K15:K26" si="2">J15*I15</f>
        <v>0</v>
      </c>
    </row>
    <row r="16" spans="1:11" x14ac:dyDescent="0.2">
      <c r="A16" s="11"/>
      <c r="B16" s="12" t="s">
        <v>20</v>
      </c>
      <c r="C16" s="13">
        <v>40000</v>
      </c>
      <c r="E16" s="14">
        <f t="shared" si="0"/>
        <v>0</v>
      </c>
      <c r="F16" s="13"/>
      <c r="G16" s="11"/>
      <c r="H16" s="12" t="s">
        <v>20</v>
      </c>
      <c r="I16" s="13">
        <v>40000</v>
      </c>
      <c r="K16" s="14">
        <f t="shared" si="2"/>
        <v>0</v>
      </c>
    </row>
    <row r="17" spans="1:11" x14ac:dyDescent="0.2">
      <c r="A17" s="15"/>
      <c r="B17" s="16" t="s">
        <v>21</v>
      </c>
      <c r="C17" s="16"/>
      <c r="D17" s="17"/>
      <c r="E17" s="18">
        <f>SUM(E4:E16)</f>
        <v>30431666.666666668</v>
      </c>
      <c r="F17" s="19"/>
      <c r="G17" s="15"/>
      <c r="H17" s="16" t="s">
        <v>21</v>
      </c>
      <c r="I17" s="16"/>
      <c r="J17" s="17"/>
      <c r="K17" s="18">
        <f>SUM(K4:K16)</f>
        <v>30431666.666666668</v>
      </c>
    </row>
    <row r="18" spans="1:11" x14ac:dyDescent="0.2">
      <c r="A18" s="11" t="s">
        <v>22</v>
      </c>
      <c r="B18" s="12" t="s">
        <v>23</v>
      </c>
      <c r="C18" s="13">
        <v>500</v>
      </c>
      <c r="D18" s="13">
        <v>10</v>
      </c>
      <c r="E18" s="20">
        <f>D18*C18</f>
        <v>5000</v>
      </c>
      <c r="F18" s="7"/>
      <c r="G18" s="11" t="s">
        <v>22</v>
      </c>
      <c r="H18" s="12" t="s">
        <v>23</v>
      </c>
      <c r="I18" s="13">
        <v>500</v>
      </c>
      <c r="J18" s="13">
        <v>10</v>
      </c>
      <c r="K18" s="20">
        <f>J18*I18</f>
        <v>5000</v>
      </c>
    </row>
    <row r="19" spans="1:11" x14ac:dyDescent="0.2">
      <c r="A19" s="11"/>
      <c r="B19" s="12" t="s">
        <v>24</v>
      </c>
      <c r="C19" s="13">
        <v>1000</v>
      </c>
      <c r="D19" s="13">
        <v>10</v>
      </c>
      <c r="E19" s="20">
        <f t="shared" ref="E19:E29" si="3">D19*C19</f>
        <v>10000</v>
      </c>
      <c r="F19" s="7"/>
      <c r="G19" s="11"/>
      <c r="H19" s="12" t="s">
        <v>24</v>
      </c>
      <c r="I19" s="13">
        <v>1000</v>
      </c>
      <c r="J19" s="13">
        <v>10</v>
      </c>
      <c r="K19" s="20">
        <f t="shared" ref="K19:K29" si="4">J19*I19</f>
        <v>10000</v>
      </c>
    </row>
    <row r="20" spans="1:11" x14ac:dyDescent="0.2">
      <c r="A20" s="11"/>
      <c r="B20" s="12" t="s">
        <v>25</v>
      </c>
      <c r="C20" s="13">
        <v>10000</v>
      </c>
      <c r="D20" s="13">
        <v>10</v>
      </c>
      <c r="E20" s="20">
        <f t="shared" si="3"/>
        <v>100000</v>
      </c>
      <c r="F20" s="7"/>
      <c r="G20" s="11"/>
      <c r="H20" s="12" t="s">
        <v>25</v>
      </c>
      <c r="I20" s="13">
        <v>10000</v>
      </c>
      <c r="J20" s="13">
        <v>10</v>
      </c>
      <c r="K20" s="20">
        <f t="shared" si="4"/>
        <v>100000</v>
      </c>
    </row>
    <row r="21" spans="1:11" x14ac:dyDescent="0.2">
      <c r="A21" s="11"/>
      <c r="B21" s="12" t="s">
        <v>26</v>
      </c>
      <c r="C21" s="13">
        <v>125000</v>
      </c>
      <c r="D21" s="13"/>
      <c r="E21" s="20">
        <f t="shared" si="3"/>
        <v>0</v>
      </c>
      <c r="F21" s="7"/>
      <c r="G21" s="11"/>
      <c r="H21" s="12" t="s">
        <v>26</v>
      </c>
      <c r="I21" s="13">
        <v>125000</v>
      </c>
      <c r="J21" s="13"/>
      <c r="K21" s="20">
        <f t="shared" si="4"/>
        <v>0</v>
      </c>
    </row>
    <row r="22" spans="1:11" x14ac:dyDescent="0.2">
      <c r="A22" s="11"/>
      <c r="B22" s="12" t="s">
        <v>27</v>
      </c>
      <c r="C22" s="13">
        <v>1250000</v>
      </c>
      <c r="D22" s="13"/>
      <c r="E22" s="20">
        <f t="shared" si="3"/>
        <v>0</v>
      </c>
      <c r="F22" s="7"/>
      <c r="G22" s="11"/>
      <c r="H22" s="12" t="s">
        <v>27</v>
      </c>
      <c r="I22" s="13">
        <v>1250000</v>
      </c>
      <c r="J22" s="13"/>
      <c r="K22" s="20">
        <f t="shared" si="4"/>
        <v>0</v>
      </c>
    </row>
    <row r="23" spans="1:11" x14ac:dyDescent="0.2">
      <c r="A23" s="11"/>
      <c r="B23" s="12" t="s">
        <v>28</v>
      </c>
      <c r="C23" s="13">
        <v>15625000</v>
      </c>
      <c r="D23" s="7"/>
      <c r="E23" s="20">
        <f t="shared" si="3"/>
        <v>0</v>
      </c>
      <c r="F23" s="7"/>
      <c r="G23" s="11"/>
      <c r="H23" s="12" t="s">
        <v>28</v>
      </c>
      <c r="I23" s="13">
        <v>15625000</v>
      </c>
      <c r="J23" s="7"/>
      <c r="K23" s="20">
        <f t="shared" si="4"/>
        <v>0</v>
      </c>
    </row>
    <row r="24" spans="1:11" x14ac:dyDescent="0.2">
      <c r="A24" s="11"/>
      <c r="B24" s="12" t="s">
        <v>29</v>
      </c>
      <c r="C24" s="13">
        <v>156250000</v>
      </c>
      <c r="D24" s="7"/>
      <c r="E24" s="20">
        <f t="shared" si="3"/>
        <v>0</v>
      </c>
      <c r="F24" s="7"/>
      <c r="G24" s="11"/>
      <c r="H24" s="12" t="s">
        <v>29</v>
      </c>
      <c r="I24" s="13">
        <v>156250000</v>
      </c>
      <c r="J24" s="7"/>
      <c r="K24" s="20">
        <f t="shared" si="4"/>
        <v>0</v>
      </c>
    </row>
    <row r="25" spans="1:11" x14ac:dyDescent="0.2">
      <c r="A25" s="11"/>
      <c r="B25" s="12" t="s">
        <v>16</v>
      </c>
      <c r="C25" s="13">
        <v>1</v>
      </c>
      <c r="D25" s="7"/>
      <c r="E25" s="20">
        <f t="shared" si="3"/>
        <v>0</v>
      </c>
      <c r="F25" s="7"/>
      <c r="G25" s="11"/>
      <c r="H25" s="12" t="s">
        <v>16</v>
      </c>
      <c r="I25" s="13">
        <v>1</v>
      </c>
      <c r="J25" s="7"/>
      <c r="K25" s="20">
        <f t="shared" si="4"/>
        <v>0</v>
      </c>
    </row>
    <row r="26" spans="1:11" x14ac:dyDescent="0.2">
      <c r="A26" s="11"/>
      <c r="B26" s="12" t="s">
        <v>17</v>
      </c>
      <c r="C26" s="13">
        <v>50000</v>
      </c>
      <c r="D26" s="7"/>
      <c r="E26" s="20">
        <f t="shared" si="3"/>
        <v>0</v>
      </c>
      <c r="F26" s="7"/>
      <c r="G26" s="11"/>
      <c r="H26" s="12" t="s">
        <v>17</v>
      </c>
      <c r="I26" s="13">
        <v>50000</v>
      </c>
      <c r="J26" s="7"/>
      <c r="K26" s="20">
        <f t="shared" si="4"/>
        <v>0</v>
      </c>
    </row>
    <row r="27" spans="1:11" x14ac:dyDescent="0.2">
      <c r="A27" s="11"/>
      <c r="B27" s="12" t="s">
        <v>18</v>
      </c>
      <c r="C27" s="13">
        <v>1</v>
      </c>
      <c r="D27" s="7"/>
      <c r="E27" s="20">
        <f>D27*C27/24</f>
        <v>0</v>
      </c>
      <c r="F27" s="7"/>
      <c r="G27" s="11"/>
      <c r="H27" s="12" t="s">
        <v>18</v>
      </c>
      <c r="I27" s="13">
        <v>1</v>
      </c>
      <c r="J27" s="7"/>
      <c r="K27" s="20">
        <f>J27*I27/24</f>
        <v>0</v>
      </c>
    </row>
    <row r="28" spans="1:11" x14ac:dyDescent="0.2">
      <c r="A28" s="11"/>
      <c r="B28" s="12" t="s">
        <v>19</v>
      </c>
      <c r="C28" s="13">
        <v>10000</v>
      </c>
      <c r="D28" s="7"/>
      <c r="E28" s="20">
        <f t="shared" si="3"/>
        <v>0</v>
      </c>
      <c r="F28" s="7"/>
      <c r="G28" s="11"/>
      <c r="H28" s="12" t="s">
        <v>19</v>
      </c>
      <c r="I28" s="13">
        <v>10000</v>
      </c>
      <c r="J28" s="7"/>
      <c r="K28" s="20">
        <f t="shared" ref="K28:K38" si="5">J28*I28</f>
        <v>0</v>
      </c>
    </row>
    <row r="29" spans="1:11" x14ac:dyDescent="0.2">
      <c r="A29" s="11"/>
      <c r="B29" s="12" t="s">
        <v>20</v>
      </c>
      <c r="C29" s="13">
        <v>40000</v>
      </c>
      <c r="D29" s="7"/>
      <c r="E29" s="20">
        <f t="shared" si="3"/>
        <v>0</v>
      </c>
      <c r="F29" s="7"/>
      <c r="G29" s="11"/>
      <c r="H29" s="12" t="s">
        <v>20</v>
      </c>
      <c r="I29" s="13">
        <v>40000</v>
      </c>
      <c r="J29" s="7"/>
      <c r="K29" s="20">
        <f t="shared" si="5"/>
        <v>0</v>
      </c>
    </row>
    <row r="30" spans="1:11" x14ac:dyDescent="0.2">
      <c r="A30" s="21"/>
      <c r="B30" s="16" t="s">
        <v>21</v>
      </c>
      <c r="C30" s="16"/>
      <c r="D30" s="17"/>
      <c r="E30" s="22">
        <f>SUM(E18:E29)</f>
        <v>115000</v>
      </c>
      <c r="F30" s="23"/>
      <c r="G30" s="21"/>
      <c r="H30" s="16" t="s">
        <v>21</v>
      </c>
      <c r="I30" s="16"/>
      <c r="J30" s="17"/>
      <c r="K30" s="22">
        <f>SUM(K18:K29)</f>
        <v>115000</v>
      </c>
    </row>
    <row r="31" spans="1:11" x14ac:dyDescent="0.2">
      <c r="A31" s="11" t="s">
        <v>30</v>
      </c>
      <c r="B31" s="12" t="s">
        <v>31</v>
      </c>
      <c r="C31" s="24">
        <v>500</v>
      </c>
      <c r="D31" s="13">
        <v>10</v>
      </c>
      <c r="E31" s="20">
        <f>C31*D31</f>
        <v>5000</v>
      </c>
      <c r="F31" s="7"/>
      <c r="G31" s="11" t="s">
        <v>30</v>
      </c>
      <c r="H31" s="12" t="s">
        <v>31</v>
      </c>
      <c r="I31" s="24">
        <v>500</v>
      </c>
      <c r="J31" s="13">
        <v>10</v>
      </c>
      <c r="K31" s="20">
        <f>I31*J31</f>
        <v>5000</v>
      </c>
    </row>
    <row r="32" spans="1:11" x14ac:dyDescent="0.2">
      <c r="A32" s="11"/>
      <c r="B32" s="12" t="s">
        <v>32</v>
      </c>
      <c r="C32" s="24">
        <v>1000</v>
      </c>
      <c r="D32" s="13">
        <v>10</v>
      </c>
      <c r="E32" s="20">
        <f t="shared" ref="E32:E43" si="6">C32*D32</f>
        <v>10000</v>
      </c>
      <c r="F32" s="7"/>
      <c r="G32" s="11"/>
      <c r="H32" s="12" t="s">
        <v>32</v>
      </c>
      <c r="I32" s="24">
        <v>1000</v>
      </c>
      <c r="J32" s="13">
        <v>10</v>
      </c>
      <c r="K32" s="20">
        <f t="shared" ref="K32:K43" si="7">I32*J32</f>
        <v>10000</v>
      </c>
    </row>
    <row r="33" spans="1:11" x14ac:dyDescent="0.2">
      <c r="A33" s="11"/>
      <c r="B33" s="12" t="s">
        <v>33</v>
      </c>
      <c r="C33" s="12">
        <v>2000</v>
      </c>
      <c r="D33" s="13">
        <v>10</v>
      </c>
      <c r="E33" s="20">
        <f t="shared" si="6"/>
        <v>20000</v>
      </c>
      <c r="F33" s="7"/>
      <c r="G33" s="11"/>
      <c r="H33" s="12" t="s">
        <v>33</v>
      </c>
      <c r="I33" s="12">
        <v>2000</v>
      </c>
      <c r="J33" s="13">
        <v>10</v>
      </c>
      <c r="K33" s="20">
        <f t="shared" si="7"/>
        <v>20000</v>
      </c>
    </row>
    <row r="34" spans="1:11" x14ac:dyDescent="0.2">
      <c r="A34" s="11"/>
      <c r="B34" s="12" t="s">
        <v>34</v>
      </c>
      <c r="C34">
        <v>20000</v>
      </c>
      <c r="D34" s="13">
        <v>10</v>
      </c>
      <c r="E34" s="20">
        <f t="shared" si="6"/>
        <v>200000</v>
      </c>
      <c r="F34" s="7"/>
      <c r="G34" s="11"/>
      <c r="H34" s="12" t="s">
        <v>34</v>
      </c>
      <c r="I34">
        <v>20000</v>
      </c>
      <c r="J34" s="13">
        <v>10</v>
      </c>
      <c r="K34" s="20">
        <f t="shared" si="7"/>
        <v>200000</v>
      </c>
    </row>
    <row r="35" spans="1:11" x14ac:dyDescent="0.2">
      <c r="A35" s="11"/>
      <c r="B35" s="12" t="s">
        <v>35</v>
      </c>
      <c r="C35">
        <v>250000</v>
      </c>
      <c r="D35" s="7"/>
      <c r="E35" s="20">
        <f t="shared" si="6"/>
        <v>0</v>
      </c>
      <c r="F35" s="7"/>
      <c r="G35" s="11"/>
      <c r="H35" s="12" t="s">
        <v>35</v>
      </c>
      <c r="I35">
        <v>250000</v>
      </c>
      <c r="J35" s="7"/>
      <c r="K35" s="20">
        <f t="shared" si="7"/>
        <v>0</v>
      </c>
    </row>
    <row r="36" spans="1:11" x14ac:dyDescent="0.2">
      <c r="A36" s="11"/>
      <c r="B36" s="12" t="s">
        <v>36</v>
      </c>
      <c r="C36">
        <v>2500000</v>
      </c>
      <c r="D36" s="7"/>
      <c r="E36" s="20">
        <f t="shared" si="6"/>
        <v>0</v>
      </c>
      <c r="F36" s="7"/>
      <c r="G36" s="11"/>
      <c r="H36" s="12" t="s">
        <v>36</v>
      </c>
      <c r="I36">
        <v>2500000</v>
      </c>
      <c r="J36" s="7"/>
      <c r="K36" s="20">
        <f t="shared" si="7"/>
        <v>0</v>
      </c>
    </row>
    <row r="37" spans="1:11" x14ac:dyDescent="0.2">
      <c r="A37" s="11"/>
      <c r="B37" s="12" t="s">
        <v>37</v>
      </c>
      <c r="C37">
        <v>31250000</v>
      </c>
      <c r="D37" s="7"/>
      <c r="E37" s="20">
        <f t="shared" si="6"/>
        <v>0</v>
      </c>
      <c r="F37" s="7"/>
      <c r="G37" s="11"/>
      <c r="H37" s="12" t="s">
        <v>37</v>
      </c>
      <c r="I37">
        <v>31250000</v>
      </c>
      <c r="J37" s="7"/>
      <c r="K37" s="20">
        <f t="shared" si="7"/>
        <v>0</v>
      </c>
    </row>
    <row r="38" spans="1:11" x14ac:dyDescent="0.2">
      <c r="A38" s="11"/>
      <c r="B38" s="12" t="s">
        <v>38</v>
      </c>
      <c r="C38">
        <v>312500000</v>
      </c>
      <c r="D38" s="7"/>
      <c r="E38" s="20">
        <f t="shared" si="6"/>
        <v>0</v>
      </c>
      <c r="F38" s="7"/>
      <c r="G38" s="11"/>
      <c r="H38" s="12" t="s">
        <v>38</v>
      </c>
      <c r="I38">
        <v>312500000</v>
      </c>
      <c r="J38" s="7"/>
      <c r="K38" s="20">
        <f t="shared" si="7"/>
        <v>0</v>
      </c>
    </row>
    <row r="39" spans="1:11" x14ac:dyDescent="0.2">
      <c r="A39" s="11"/>
      <c r="B39" s="12" t="s">
        <v>16</v>
      </c>
      <c r="C39">
        <v>1</v>
      </c>
      <c r="D39" s="7"/>
      <c r="E39" s="20">
        <f t="shared" si="6"/>
        <v>0</v>
      </c>
      <c r="F39" s="7"/>
      <c r="G39" s="11"/>
      <c r="H39" s="12" t="s">
        <v>16</v>
      </c>
      <c r="I39">
        <v>1</v>
      </c>
      <c r="J39" s="7"/>
      <c r="K39" s="20">
        <f t="shared" si="7"/>
        <v>0</v>
      </c>
    </row>
    <row r="40" spans="1:11" x14ac:dyDescent="0.2">
      <c r="A40" s="11"/>
      <c r="B40" s="12" t="s">
        <v>17</v>
      </c>
      <c r="C40">
        <v>50000</v>
      </c>
      <c r="D40" s="7"/>
      <c r="E40" s="20">
        <f t="shared" si="6"/>
        <v>0</v>
      </c>
      <c r="F40" s="7"/>
      <c r="G40" s="11"/>
      <c r="H40" s="12" t="s">
        <v>17</v>
      </c>
      <c r="I40">
        <v>50000</v>
      </c>
      <c r="J40" s="7"/>
      <c r="K40" s="20">
        <f t="shared" si="7"/>
        <v>0</v>
      </c>
    </row>
    <row r="41" spans="1:11" x14ac:dyDescent="0.2">
      <c r="A41" s="11"/>
      <c r="B41" s="12" t="s">
        <v>18</v>
      </c>
      <c r="C41">
        <v>1</v>
      </c>
      <c r="D41" s="7"/>
      <c r="E41" s="20">
        <f>(C41*D41)/24</f>
        <v>0</v>
      </c>
      <c r="F41" s="7"/>
      <c r="G41" s="11"/>
      <c r="H41" s="12" t="s">
        <v>18</v>
      </c>
      <c r="I41">
        <v>1</v>
      </c>
      <c r="J41" s="7"/>
      <c r="K41" s="20">
        <f>(I41*J41)/24</f>
        <v>0</v>
      </c>
    </row>
    <row r="42" spans="1:11" x14ac:dyDescent="0.2">
      <c r="A42" s="11"/>
      <c r="B42" s="12" t="s">
        <v>19</v>
      </c>
      <c r="C42">
        <v>10000</v>
      </c>
      <c r="D42" s="7"/>
      <c r="E42" s="20">
        <f t="shared" si="6"/>
        <v>0</v>
      </c>
      <c r="F42" s="7"/>
      <c r="G42" s="11"/>
      <c r="H42" s="12" t="s">
        <v>19</v>
      </c>
      <c r="I42">
        <v>10000</v>
      </c>
      <c r="J42" s="7"/>
      <c r="K42" s="20">
        <f t="shared" ref="K42:K53" si="8">I42*J42</f>
        <v>0</v>
      </c>
    </row>
    <row r="43" spans="1:11" x14ac:dyDescent="0.2">
      <c r="A43" s="11"/>
      <c r="B43" s="12" t="s">
        <v>20</v>
      </c>
      <c r="C43">
        <v>40000</v>
      </c>
      <c r="D43" s="7"/>
      <c r="E43" s="20">
        <f t="shared" si="6"/>
        <v>0</v>
      </c>
      <c r="F43" s="7"/>
      <c r="G43" s="11"/>
      <c r="H43" s="12" t="s">
        <v>20</v>
      </c>
      <c r="I43">
        <v>40000</v>
      </c>
      <c r="J43" s="7"/>
      <c r="K43" s="20">
        <f t="shared" si="8"/>
        <v>0</v>
      </c>
    </row>
    <row r="44" spans="1:11" x14ac:dyDescent="0.2">
      <c r="A44" s="17"/>
      <c r="B44" s="16" t="s">
        <v>39</v>
      </c>
      <c r="C44" s="16"/>
      <c r="D44" s="17"/>
      <c r="E44" s="22">
        <f>SUM(E31:E43)</f>
        <v>235000</v>
      </c>
      <c r="F44" s="23"/>
      <c r="G44" s="17"/>
      <c r="H44" s="16" t="s">
        <v>39</v>
      </c>
      <c r="I44" s="16"/>
      <c r="J44" s="17"/>
      <c r="K44" s="22">
        <f>SUM(K31:K43)</f>
        <v>235000</v>
      </c>
    </row>
    <row r="45" spans="1:11" x14ac:dyDescent="0.2">
      <c r="A45" s="11" t="s">
        <v>40</v>
      </c>
      <c r="B45" s="12" t="s">
        <v>41</v>
      </c>
      <c r="C45">
        <v>37500</v>
      </c>
      <c r="D45" s="7"/>
      <c r="E45" s="20">
        <f>D45*C45</f>
        <v>0</v>
      </c>
      <c r="F45" s="7"/>
      <c r="G45" s="11" t="s">
        <v>40</v>
      </c>
      <c r="H45" s="12" t="s">
        <v>41</v>
      </c>
      <c r="I45">
        <v>37500</v>
      </c>
      <c r="J45" s="7"/>
      <c r="K45" s="20">
        <f>J45*I45</f>
        <v>0</v>
      </c>
    </row>
    <row r="46" spans="1:11" x14ac:dyDescent="0.2">
      <c r="A46" s="11"/>
      <c r="B46" s="12" t="s">
        <v>42</v>
      </c>
      <c r="C46">
        <v>500</v>
      </c>
      <c r="D46" s="13">
        <v>10</v>
      </c>
      <c r="E46" s="20">
        <f t="shared" ref="E46:E58" si="9">D46*C46</f>
        <v>5000</v>
      </c>
      <c r="F46" s="7"/>
      <c r="G46" s="11"/>
      <c r="H46" s="12" t="s">
        <v>42</v>
      </c>
      <c r="I46">
        <v>500</v>
      </c>
      <c r="J46" s="13">
        <v>10</v>
      </c>
      <c r="K46" s="20">
        <f t="shared" ref="K46:K58" si="10">J46*I46</f>
        <v>5000</v>
      </c>
    </row>
    <row r="47" spans="1:11" x14ac:dyDescent="0.2">
      <c r="A47" s="11"/>
      <c r="B47" s="12" t="s">
        <v>43</v>
      </c>
      <c r="C47">
        <v>5000</v>
      </c>
      <c r="D47" s="13">
        <v>10</v>
      </c>
      <c r="E47" s="20">
        <f t="shared" si="9"/>
        <v>50000</v>
      </c>
      <c r="F47" s="7"/>
      <c r="G47" s="11"/>
      <c r="H47" s="12" t="s">
        <v>43</v>
      </c>
      <c r="I47">
        <v>5000</v>
      </c>
      <c r="J47" s="13">
        <v>10</v>
      </c>
      <c r="K47" s="20">
        <f t="shared" si="10"/>
        <v>50000</v>
      </c>
    </row>
    <row r="48" spans="1:11" x14ac:dyDescent="0.2">
      <c r="A48" s="11"/>
      <c r="B48" s="12" t="s">
        <v>44</v>
      </c>
      <c r="C48">
        <v>2000</v>
      </c>
      <c r="D48" s="13">
        <v>10</v>
      </c>
      <c r="E48" s="20">
        <f t="shared" si="9"/>
        <v>20000</v>
      </c>
      <c r="F48" s="7"/>
      <c r="G48" s="11"/>
      <c r="H48" s="12" t="s">
        <v>44</v>
      </c>
      <c r="I48">
        <v>2000</v>
      </c>
      <c r="J48" s="13">
        <v>10</v>
      </c>
      <c r="K48" s="20">
        <f t="shared" si="10"/>
        <v>20000</v>
      </c>
    </row>
    <row r="49" spans="1:11" x14ac:dyDescent="0.2">
      <c r="A49" s="11"/>
      <c r="B49" s="12" t="s">
        <v>45</v>
      </c>
      <c r="C49">
        <v>20000</v>
      </c>
      <c r="D49" s="13">
        <v>10</v>
      </c>
      <c r="E49" s="20">
        <f t="shared" si="9"/>
        <v>200000</v>
      </c>
      <c r="F49" s="7"/>
      <c r="G49" s="11"/>
      <c r="H49" s="12" t="s">
        <v>45</v>
      </c>
      <c r="I49">
        <v>20000</v>
      </c>
      <c r="J49" s="13">
        <v>10</v>
      </c>
      <c r="K49" s="20">
        <f t="shared" si="10"/>
        <v>200000</v>
      </c>
    </row>
    <row r="50" spans="1:11" x14ac:dyDescent="0.2">
      <c r="A50" s="11"/>
      <c r="B50" s="12" t="s">
        <v>46</v>
      </c>
      <c r="C50">
        <v>250000</v>
      </c>
      <c r="D50" s="7"/>
      <c r="E50" s="20">
        <f t="shared" si="9"/>
        <v>0</v>
      </c>
      <c r="F50" s="7"/>
      <c r="G50" s="11"/>
      <c r="H50" s="12" t="s">
        <v>46</v>
      </c>
      <c r="I50">
        <v>250000</v>
      </c>
      <c r="J50" s="7"/>
      <c r="K50" s="20">
        <f t="shared" si="10"/>
        <v>0</v>
      </c>
    </row>
    <row r="51" spans="1:11" x14ac:dyDescent="0.2">
      <c r="A51" s="11"/>
      <c r="B51" s="12" t="s">
        <v>47</v>
      </c>
      <c r="C51">
        <v>2500000</v>
      </c>
      <c r="D51" s="7"/>
      <c r="E51" s="20">
        <f t="shared" si="9"/>
        <v>0</v>
      </c>
      <c r="F51" s="7"/>
      <c r="G51" s="11"/>
      <c r="H51" s="12" t="s">
        <v>47</v>
      </c>
      <c r="I51">
        <v>2500000</v>
      </c>
      <c r="J51" s="7"/>
      <c r="K51" s="20">
        <f t="shared" si="10"/>
        <v>0</v>
      </c>
    </row>
    <row r="52" spans="1:11" x14ac:dyDescent="0.2">
      <c r="A52" s="11"/>
      <c r="B52" s="12" t="s">
        <v>48</v>
      </c>
      <c r="C52">
        <v>31250000</v>
      </c>
      <c r="D52" s="7"/>
      <c r="E52" s="20">
        <f t="shared" si="9"/>
        <v>0</v>
      </c>
      <c r="F52" s="7"/>
      <c r="G52" s="11"/>
      <c r="H52" s="12" t="s">
        <v>48</v>
      </c>
      <c r="I52">
        <v>31250000</v>
      </c>
      <c r="J52" s="7"/>
      <c r="K52" s="20">
        <f t="shared" si="10"/>
        <v>0</v>
      </c>
    </row>
    <row r="53" spans="1:11" x14ac:dyDescent="0.2">
      <c r="A53" s="11"/>
      <c r="B53" s="12" t="s">
        <v>49</v>
      </c>
      <c r="C53">
        <v>312500000</v>
      </c>
      <c r="D53" s="7"/>
      <c r="E53" s="20">
        <f t="shared" si="9"/>
        <v>0</v>
      </c>
      <c r="F53" s="7"/>
      <c r="G53" s="11"/>
      <c r="H53" s="12" t="s">
        <v>49</v>
      </c>
      <c r="I53">
        <v>312500000</v>
      </c>
      <c r="J53" s="7"/>
      <c r="K53" s="20">
        <f t="shared" si="10"/>
        <v>0</v>
      </c>
    </row>
    <row r="54" spans="1:11" x14ac:dyDescent="0.2">
      <c r="A54" s="11"/>
      <c r="B54" s="12" t="s">
        <v>16</v>
      </c>
      <c r="C54">
        <v>1</v>
      </c>
      <c r="D54" s="7"/>
      <c r="E54" s="20">
        <f t="shared" si="9"/>
        <v>0</v>
      </c>
      <c r="F54" s="7"/>
      <c r="G54" s="11"/>
      <c r="H54" s="12" t="s">
        <v>16</v>
      </c>
      <c r="I54">
        <v>1</v>
      </c>
      <c r="J54" s="7"/>
      <c r="K54" s="20">
        <f t="shared" si="10"/>
        <v>0</v>
      </c>
    </row>
    <row r="55" spans="1:11" x14ac:dyDescent="0.2">
      <c r="A55" s="11"/>
      <c r="B55" s="12" t="s">
        <v>17</v>
      </c>
      <c r="C55">
        <v>50000</v>
      </c>
      <c r="D55" s="7"/>
      <c r="E55" s="20">
        <f t="shared" si="9"/>
        <v>0</v>
      </c>
      <c r="F55" s="7"/>
      <c r="G55" s="11"/>
      <c r="H55" s="12" t="s">
        <v>17</v>
      </c>
      <c r="I55">
        <v>50000</v>
      </c>
      <c r="J55" s="7"/>
      <c r="K55" s="20">
        <f t="shared" si="10"/>
        <v>0</v>
      </c>
    </row>
    <row r="56" spans="1:11" x14ac:dyDescent="0.2">
      <c r="A56" s="11"/>
      <c r="B56" s="12" t="s">
        <v>18</v>
      </c>
      <c r="C56">
        <v>1</v>
      </c>
      <c r="D56" s="7"/>
      <c r="E56" s="20">
        <f>(D56*C56)/24</f>
        <v>0</v>
      </c>
      <c r="F56" s="7"/>
      <c r="G56" s="11"/>
      <c r="H56" s="12" t="s">
        <v>18</v>
      </c>
      <c r="I56">
        <v>1</v>
      </c>
      <c r="J56" s="7"/>
      <c r="K56" s="20">
        <f>(J56*I56)/24</f>
        <v>0</v>
      </c>
    </row>
    <row r="57" spans="1:11" x14ac:dyDescent="0.2">
      <c r="A57" s="11"/>
      <c r="B57" s="12" t="s">
        <v>19</v>
      </c>
      <c r="C57">
        <v>10000</v>
      </c>
      <c r="D57" s="7"/>
      <c r="E57" s="20">
        <f t="shared" si="9"/>
        <v>0</v>
      </c>
      <c r="F57" s="7"/>
      <c r="G57" s="11"/>
      <c r="H57" s="12" t="s">
        <v>19</v>
      </c>
      <c r="I57">
        <v>10000</v>
      </c>
      <c r="J57" s="7"/>
      <c r="K57" s="20">
        <f t="shared" ref="K57:K69" si="11">J57*I57</f>
        <v>0</v>
      </c>
    </row>
    <row r="58" spans="1:11" x14ac:dyDescent="0.2">
      <c r="A58" s="25"/>
      <c r="B58" s="12" t="s">
        <v>20</v>
      </c>
      <c r="C58">
        <v>40000</v>
      </c>
      <c r="D58" s="7"/>
      <c r="E58" s="20">
        <f t="shared" si="9"/>
        <v>0</v>
      </c>
      <c r="F58" s="7"/>
      <c r="G58" s="25"/>
      <c r="H58" s="12" t="s">
        <v>20</v>
      </c>
      <c r="I58">
        <v>40000</v>
      </c>
      <c r="J58" s="7"/>
      <c r="K58" s="20">
        <f t="shared" si="11"/>
        <v>0</v>
      </c>
    </row>
    <row r="59" spans="1:11" x14ac:dyDescent="0.2">
      <c r="A59" s="17"/>
      <c r="B59" s="16" t="s">
        <v>39</v>
      </c>
      <c r="C59" s="16"/>
      <c r="D59" s="17"/>
      <c r="E59" s="22">
        <f>SUM(E45:E58)</f>
        <v>275000</v>
      </c>
      <c r="F59" s="23"/>
      <c r="G59" s="17"/>
      <c r="H59" s="16" t="s">
        <v>39</v>
      </c>
      <c r="I59" s="16"/>
      <c r="J59" s="17"/>
      <c r="K59" s="22">
        <f>SUM(K45:K58)</f>
        <v>275000</v>
      </c>
    </row>
    <row r="60" spans="1:11" x14ac:dyDescent="0.2">
      <c r="A60" s="11" t="s">
        <v>50</v>
      </c>
      <c r="B60" s="12" t="s">
        <v>41</v>
      </c>
      <c r="C60">
        <v>37500</v>
      </c>
      <c r="D60" s="7"/>
      <c r="E60" s="20">
        <f>D60*C60</f>
        <v>0</v>
      </c>
      <c r="F60" s="7"/>
      <c r="G60" s="11" t="s">
        <v>50</v>
      </c>
      <c r="H60" s="12" t="s">
        <v>41</v>
      </c>
      <c r="I60">
        <v>37500</v>
      </c>
      <c r="J60" s="7"/>
      <c r="K60" s="20">
        <f>J60*I60</f>
        <v>0</v>
      </c>
    </row>
    <row r="61" spans="1:11" x14ac:dyDescent="0.2">
      <c r="A61" s="11"/>
      <c r="B61" s="12" t="s">
        <v>51</v>
      </c>
      <c r="C61">
        <v>5</v>
      </c>
      <c r="D61" s="13">
        <v>10</v>
      </c>
      <c r="E61" s="20">
        <f t="shared" ref="E61:E70" si="12">D61*C61</f>
        <v>50</v>
      </c>
      <c r="F61" s="7"/>
      <c r="G61" s="11"/>
      <c r="H61" s="12" t="s">
        <v>51</v>
      </c>
      <c r="I61">
        <v>5</v>
      </c>
      <c r="J61" s="13">
        <v>10</v>
      </c>
      <c r="K61" s="20">
        <f t="shared" ref="K61:K70" si="13">J61*I61</f>
        <v>50</v>
      </c>
    </row>
    <row r="62" spans="1:11" x14ac:dyDescent="0.2">
      <c r="A62" s="11"/>
      <c r="B62" s="12" t="s">
        <v>52</v>
      </c>
      <c r="C62">
        <v>1500</v>
      </c>
      <c r="D62" s="13">
        <v>10</v>
      </c>
      <c r="E62" s="20">
        <f t="shared" si="12"/>
        <v>15000</v>
      </c>
      <c r="F62" s="7"/>
      <c r="G62" s="11"/>
      <c r="H62" s="12" t="s">
        <v>52</v>
      </c>
      <c r="I62">
        <v>1500</v>
      </c>
      <c r="J62" s="13">
        <v>10</v>
      </c>
      <c r="K62" s="20">
        <f t="shared" si="13"/>
        <v>15000</v>
      </c>
    </row>
    <row r="63" spans="1:11" x14ac:dyDescent="0.2">
      <c r="A63" s="11"/>
      <c r="B63" s="12" t="s">
        <v>53</v>
      </c>
      <c r="C63">
        <v>4000</v>
      </c>
      <c r="D63" s="13">
        <v>10</v>
      </c>
      <c r="E63" s="20">
        <f t="shared" si="12"/>
        <v>40000</v>
      </c>
      <c r="F63" s="7"/>
      <c r="G63" s="11"/>
      <c r="H63" s="12" t="s">
        <v>53</v>
      </c>
      <c r="I63">
        <v>4000</v>
      </c>
      <c r="J63" s="13">
        <v>10</v>
      </c>
      <c r="K63" s="20">
        <f t="shared" si="13"/>
        <v>40000</v>
      </c>
    </row>
    <row r="64" spans="1:11" x14ac:dyDescent="0.2">
      <c r="A64" s="11"/>
      <c r="B64" s="12" t="s">
        <v>54</v>
      </c>
      <c r="C64">
        <v>4000</v>
      </c>
      <c r="D64" s="13">
        <v>10</v>
      </c>
      <c r="E64" s="20">
        <f t="shared" si="12"/>
        <v>40000</v>
      </c>
      <c r="F64" s="7"/>
      <c r="G64" s="11"/>
      <c r="H64" s="12" t="s">
        <v>54</v>
      </c>
      <c r="I64">
        <v>4000</v>
      </c>
      <c r="J64" s="13">
        <v>10</v>
      </c>
      <c r="K64" s="20">
        <f t="shared" si="13"/>
        <v>40000</v>
      </c>
    </row>
    <row r="65" spans="1:11" x14ac:dyDescent="0.2">
      <c r="A65" s="11"/>
      <c r="B65" s="12" t="s">
        <v>55</v>
      </c>
      <c r="C65">
        <v>25000</v>
      </c>
      <c r="D65" s="13">
        <v>10</v>
      </c>
      <c r="E65" s="20">
        <f t="shared" si="12"/>
        <v>250000</v>
      </c>
      <c r="F65" s="7"/>
      <c r="G65" s="11"/>
      <c r="H65" s="12" t="s">
        <v>55</v>
      </c>
      <c r="I65">
        <v>25000</v>
      </c>
      <c r="J65" s="13">
        <v>10</v>
      </c>
      <c r="K65" s="20">
        <f t="shared" si="13"/>
        <v>250000</v>
      </c>
    </row>
    <row r="66" spans="1:11" x14ac:dyDescent="0.2">
      <c r="A66" s="11"/>
      <c r="B66" s="12" t="s">
        <v>16</v>
      </c>
      <c r="C66">
        <v>1</v>
      </c>
      <c r="D66" s="13">
        <v>10</v>
      </c>
      <c r="E66" s="20">
        <f t="shared" si="12"/>
        <v>10</v>
      </c>
      <c r="F66" s="7"/>
      <c r="G66" s="11"/>
      <c r="H66" s="12" t="s">
        <v>16</v>
      </c>
      <c r="I66">
        <v>1</v>
      </c>
      <c r="J66" s="13">
        <v>10</v>
      </c>
      <c r="K66" s="20">
        <f t="shared" si="13"/>
        <v>10</v>
      </c>
    </row>
    <row r="67" spans="1:11" x14ac:dyDescent="0.2">
      <c r="A67" s="11"/>
      <c r="B67" s="12" t="s">
        <v>17</v>
      </c>
      <c r="C67">
        <v>50000</v>
      </c>
      <c r="D67" s="13">
        <v>10</v>
      </c>
      <c r="E67" s="20">
        <f t="shared" si="12"/>
        <v>500000</v>
      </c>
      <c r="F67" s="7"/>
      <c r="G67" s="11"/>
      <c r="H67" s="12" t="s">
        <v>17</v>
      </c>
      <c r="I67">
        <v>50000</v>
      </c>
      <c r="J67" s="13">
        <v>10</v>
      </c>
      <c r="K67" s="20">
        <f t="shared" si="13"/>
        <v>500000</v>
      </c>
    </row>
    <row r="68" spans="1:11" x14ac:dyDescent="0.2">
      <c r="A68" s="11"/>
      <c r="B68" s="12" t="s">
        <v>18</v>
      </c>
      <c r="C68">
        <v>1</v>
      </c>
      <c r="D68" s="13">
        <v>10</v>
      </c>
      <c r="E68" s="20">
        <f>(D68*C68)/24</f>
        <v>0.41666666666666669</v>
      </c>
      <c r="F68" s="7"/>
      <c r="G68" s="11"/>
      <c r="H68" s="12" t="s">
        <v>18</v>
      </c>
      <c r="I68">
        <v>1</v>
      </c>
      <c r="J68" s="13">
        <v>10</v>
      </c>
      <c r="K68" s="20">
        <f>(J68*I68)/24</f>
        <v>0.41666666666666669</v>
      </c>
    </row>
    <row r="69" spans="1:11" x14ac:dyDescent="0.2">
      <c r="A69" s="11"/>
      <c r="B69" s="12" t="s">
        <v>19</v>
      </c>
      <c r="C69">
        <v>10000</v>
      </c>
      <c r="D69" s="13"/>
      <c r="E69" s="20">
        <f t="shared" si="12"/>
        <v>0</v>
      </c>
      <c r="F69" s="7"/>
      <c r="G69" s="11"/>
      <c r="H69" s="12" t="s">
        <v>19</v>
      </c>
      <c r="I69">
        <v>10000</v>
      </c>
      <c r="J69" s="7"/>
      <c r="K69" s="20">
        <f t="shared" ref="K69:K78" si="14">J69*I69</f>
        <v>0</v>
      </c>
    </row>
    <row r="70" spans="1:11" x14ac:dyDescent="0.2">
      <c r="A70" s="11"/>
      <c r="B70" s="12" t="s">
        <v>20</v>
      </c>
      <c r="C70">
        <v>40000</v>
      </c>
      <c r="D70" s="13"/>
      <c r="E70" s="20">
        <f t="shared" si="12"/>
        <v>0</v>
      </c>
      <c r="F70" s="7"/>
      <c r="G70" s="11"/>
      <c r="H70" s="12" t="s">
        <v>20</v>
      </c>
      <c r="I70">
        <v>40000</v>
      </c>
      <c r="J70" s="7"/>
      <c r="K70" s="20">
        <f t="shared" si="14"/>
        <v>0</v>
      </c>
    </row>
    <row r="71" spans="1:11" x14ac:dyDescent="0.2">
      <c r="B71" s="16" t="s">
        <v>39</v>
      </c>
      <c r="C71" s="16"/>
      <c r="D71" s="7"/>
      <c r="E71" s="26">
        <f>SUM(E60:E70)</f>
        <v>845060.41666666663</v>
      </c>
      <c r="F71" s="27"/>
      <c r="H71" s="16" t="s">
        <v>39</v>
      </c>
      <c r="I71" s="16"/>
      <c r="J71" s="7"/>
      <c r="K71" s="26">
        <f>SUM(K60:K70)</f>
        <v>845060.41666666663</v>
      </c>
    </row>
    <row r="72" spans="1:11" x14ac:dyDescent="0.2">
      <c r="A72" s="11" t="s">
        <v>56</v>
      </c>
      <c r="B72" s="12" t="s">
        <v>57</v>
      </c>
      <c r="C72">
        <v>12</v>
      </c>
      <c r="D72" s="7"/>
      <c r="E72" s="20">
        <f>D72*C72</f>
        <v>0</v>
      </c>
      <c r="F72" s="7"/>
      <c r="G72" s="11" t="s">
        <v>56</v>
      </c>
      <c r="H72" s="12" t="s">
        <v>57</v>
      </c>
      <c r="I72">
        <v>12</v>
      </c>
      <c r="J72" s="7"/>
      <c r="K72" s="20">
        <f>J72*I72</f>
        <v>0</v>
      </c>
    </row>
    <row r="73" spans="1:11" x14ac:dyDescent="0.2">
      <c r="A73" s="11"/>
      <c r="B73" s="12" t="s">
        <v>58</v>
      </c>
      <c r="C73">
        <v>12</v>
      </c>
      <c r="D73" s="7"/>
      <c r="E73" s="20">
        <f t="shared" ref="E73:E82" si="15">D73*C73</f>
        <v>0</v>
      </c>
      <c r="F73" s="7"/>
      <c r="G73" s="11"/>
      <c r="H73" s="12" t="s">
        <v>58</v>
      </c>
      <c r="I73">
        <v>12</v>
      </c>
      <c r="J73" s="7"/>
      <c r="K73" s="20">
        <f t="shared" ref="K73:K82" si="16">J73*I73</f>
        <v>0</v>
      </c>
    </row>
    <row r="74" spans="1:11" x14ac:dyDescent="0.2">
      <c r="A74" s="11"/>
      <c r="B74" s="12" t="s">
        <v>41</v>
      </c>
      <c r="C74">
        <v>37500</v>
      </c>
      <c r="D74" s="7"/>
      <c r="E74" s="20">
        <f t="shared" si="15"/>
        <v>0</v>
      </c>
      <c r="F74" s="7"/>
      <c r="G74" s="11"/>
      <c r="H74" s="12" t="s">
        <v>41</v>
      </c>
      <c r="I74">
        <v>37500</v>
      </c>
      <c r="J74" s="7"/>
      <c r="K74" s="20">
        <f t="shared" si="16"/>
        <v>0</v>
      </c>
    </row>
    <row r="75" spans="1:11" x14ac:dyDescent="0.2">
      <c r="A75" s="11"/>
      <c r="B75" s="12" t="s">
        <v>18</v>
      </c>
      <c r="C75">
        <v>1</v>
      </c>
      <c r="D75" s="7"/>
      <c r="E75" s="20">
        <f t="shared" si="15"/>
        <v>0</v>
      </c>
      <c r="F75" s="7"/>
      <c r="G75" s="11"/>
      <c r="H75" s="12" t="s">
        <v>18</v>
      </c>
      <c r="I75">
        <v>1</v>
      </c>
      <c r="J75" s="7"/>
      <c r="K75" s="20">
        <f t="shared" si="16"/>
        <v>0</v>
      </c>
    </row>
    <row r="76" spans="1:11" x14ac:dyDescent="0.2">
      <c r="A76" s="11"/>
      <c r="B76" s="12" t="s">
        <v>17</v>
      </c>
      <c r="C76">
        <v>50000</v>
      </c>
      <c r="D76" s="7"/>
      <c r="E76" s="20">
        <f t="shared" si="15"/>
        <v>0</v>
      </c>
      <c r="F76" s="7"/>
      <c r="G76" s="11"/>
      <c r="H76" s="12" t="s">
        <v>17</v>
      </c>
      <c r="I76">
        <v>50000</v>
      </c>
      <c r="J76" s="7"/>
      <c r="K76" s="20">
        <f t="shared" si="16"/>
        <v>0</v>
      </c>
    </row>
    <row r="77" spans="1:11" x14ac:dyDescent="0.2">
      <c r="A77" s="11"/>
      <c r="B77" s="12" t="s">
        <v>16</v>
      </c>
      <c r="C77">
        <v>1</v>
      </c>
      <c r="D77" s="7"/>
      <c r="E77" s="20">
        <f t="shared" si="15"/>
        <v>0</v>
      </c>
      <c r="F77" s="7"/>
      <c r="G77" s="11"/>
      <c r="H77" s="12" t="s">
        <v>16</v>
      </c>
      <c r="I77">
        <v>1</v>
      </c>
      <c r="J77" s="7"/>
      <c r="K77" s="20">
        <f t="shared" si="16"/>
        <v>0</v>
      </c>
    </row>
    <row r="78" spans="1:11" x14ac:dyDescent="0.2">
      <c r="A78" s="11"/>
      <c r="B78" s="12" t="s">
        <v>19</v>
      </c>
      <c r="C78">
        <v>10000</v>
      </c>
      <c r="D78" s="7"/>
      <c r="E78" s="20">
        <f t="shared" si="15"/>
        <v>0</v>
      </c>
      <c r="F78" s="7"/>
      <c r="G78" s="11"/>
      <c r="H78" s="12" t="s">
        <v>19</v>
      </c>
      <c r="I78">
        <v>10000</v>
      </c>
      <c r="J78" s="7"/>
      <c r="K78" s="20">
        <f t="shared" si="16"/>
        <v>0</v>
      </c>
    </row>
    <row r="79" spans="1:11" x14ac:dyDescent="0.2">
      <c r="A79" s="11"/>
      <c r="B79" s="12" t="s">
        <v>20</v>
      </c>
      <c r="C79">
        <v>40000</v>
      </c>
      <c r="D79" s="7"/>
      <c r="E79" s="20">
        <f t="shared" si="15"/>
        <v>0</v>
      </c>
      <c r="F79" s="7"/>
      <c r="G79" s="11"/>
      <c r="H79" s="12" t="s">
        <v>20</v>
      </c>
      <c r="I79">
        <v>40000</v>
      </c>
      <c r="J79" s="7"/>
      <c r="K79" s="20">
        <f t="shared" si="16"/>
        <v>0</v>
      </c>
    </row>
    <row r="80" spans="1:11" x14ac:dyDescent="0.2">
      <c r="A80" s="11"/>
      <c r="B80" s="12" t="s">
        <v>59</v>
      </c>
      <c r="C80">
        <v>8</v>
      </c>
      <c r="D80" s="7"/>
      <c r="E80" s="20">
        <f t="shared" si="15"/>
        <v>0</v>
      </c>
      <c r="F80" s="7"/>
      <c r="G80" s="11"/>
      <c r="H80" s="12" t="s">
        <v>59</v>
      </c>
      <c r="I80">
        <v>8</v>
      </c>
      <c r="J80" s="7"/>
      <c r="K80" s="20">
        <f t="shared" si="16"/>
        <v>0</v>
      </c>
    </row>
    <row r="81" spans="1:11" x14ac:dyDescent="0.2">
      <c r="A81" s="11"/>
      <c r="B81" s="12" t="s">
        <v>60</v>
      </c>
      <c r="C81">
        <v>500</v>
      </c>
      <c r="D81" s="7"/>
      <c r="E81" s="20">
        <f t="shared" si="15"/>
        <v>0</v>
      </c>
      <c r="F81" s="7"/>
      <c r="G81" s="11"/>
      <c r="H81" s="12" t="s">
        <v>60</v>
      </c>
      <c r="I81">
        <v>500</v>
      </c>
      <c r="J81" s="7"/>
      <c r="K81" s="20">
        <f t="shared" si="16"/>
        <v>0</v>
      </c>
    </row>
    <row r="82" spans="1:11" x14ac:dyDescent="0.2">
      <c r="A82" s="11"/>
      <c r="B82" s="12" t="s">
        <v>61</v>
      </c>
      <c r="C82">
        <v>60000</v>
      </c>
      <c r="D82" s="7"/>
      <c r="E82" s="20">
        <f t="shared" si="15"/>
        <v>0</v>
      </c>
      <c r="F82" s="7"/>
      <c r="G82" s="11"/>
      <c r="H82" s="12" t="s">
        <v>61</v>
      </c>
      <c r="I82">
        <v>60000</v>
      </c>
      <c r="J82" s="7"/>
      <c r="K82" s="20">
        <f t="shared" si="16"/>
        <v>0</v>
      </c>
    </row>
    <row r="83" spans="1:11" x14ac:dyDescent="0.2">
      <c r="B83" s="16" t="s">
        <v>39</v>
      </c>
      <c r="C83" s="16"/>
      <c r="D83" s="7"/>
      <c r="E83" s="20">
        <f>SUM(E72:E82)</f>
        <v>0</v>
      </c>
      <c r="F83" s="7"/>
      <c r="H83" s="16" t="s">
        <v>39</v>
      </c>
      <c r="I83" s="16"/>
      <c r="J83" s="7"/>
      <c r="K83" s="20">
        <f>SUM(K72:K82)</f>
        <v>0</v>
      </c>
    </row>
    <row r="84" spans="1:11" x14ac:dyDescent="0.2">
      <c r="B84" s="28" t="s">
        <v>62</v>
      </c>
      <c r="C84" s="28"/>
      <c r="D84" s="28"/>
      <c r="E84" s="20"/>
      <c r="F84" s="7"/>
      <c r="H84" s="28" t="s">
        <v>62</v>
      </c>
      <c r="I84" s="28"/>
      <c r="J84" s="28"/>
      <c r="K84" s="20"/>
    </row>
    <row r="85" spans="1:11" x14ac:dyDescent="0.2">
      <c r="B85" s="29"/>
      <c r="C85" s="29"/>
      <c r="D85" s="29"/>
      <c r="E85" s="14">
        <f>SUM(E83+E71+E59+E44+E30+E17)</f>
        <v>31901727.083333336</v>
      </c>
      <c r="F85" s="13"/>
      <c r="H85" s="29"/>
      <c r="I85" s="29"/>
      <c r="J85" s="29"/>
      <c r="K85" s="14">
        <f>SUM(K83+K71+K59+K44+K30+K17)</f>
        <v>31901727.083333336</v>
      </c>
    </row>
  </sheetData>
  <mergeCells count="29">
    <mergeCell ref="B83:C83"/>
    <mergeCell ref="H83:I83"/>
    <mergeCell ref="B84:D85"/>
    <mergeCell ref="H84:J85"/>
    <mergeCell ref="A60:A70"/>
    <mergeCell ref="G60:G70"/>
    <mergeCell ref="B71:C71"/>
    <mergeCell ref="H71:I71"/>
    <mergeCell ref="A72:A82"/>
    <mergeCell ref="G72:G82"/>
    <mergeCell ref="B44:C44"/>
    <mergeCell ref="H44:I44"/>
    <mergeCell ref="A45:A57"/>
    <mergeCell ref="G45:G57"/>
    <mergeCell ref="B59:C59"/>
    <mergeCell ref="H59:I59"/>
    <mergeCell ref="A18:A29"/>
    <mergeCell ref="G18:G29"/>
    <mergeCell ref="B30:C30"/>
    <mergeCell ref="H30:I30"/>
    <mergeCell ref="A31:A43"/>
    <mergeCell ref="G31:G43"/>
    <mergeCell ref="A1:K1"/>
    <mergeCell ref="B2:D2"/>
    <mergeCell ref="G2:I2"/>
    <mergeCell ref="A4:A16"/>
    <mergeCell ref="G4:G16"/>
    <mergeCell ref="B17:C17"/>
    <mergeCell ref="H17:I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2026-03-04T16:24:25Z</dcterms:created>
  <dcterms:modified xsi:type="dcterms:W3CDTF">2026-03-04T16:27:35Z</dcterms:modified>
</cp:coreProperties>
</file>