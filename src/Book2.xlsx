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480" yWindow="2640" windowWidth="32000" windowHeight="1644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 Narrow"/>
      <family val="2"/>
      <color theme="1"/>
      <sz val="12"/>
      <scheme val="minor"/>
    </font>
    <font>
      <name val="Aptos Narrow"/>
      <charset val="204"/>
      <family val="2"/>
      <b val="1"/>
      <color rgb="FF000000"/>
      <sz val="11"/>
      <scheme val="minor"/>
    </font>
    <font>
      <name val="Aptos Narrow"/>
      <charset val="204"/>
      <family val="2"/>
      <b val="1"/>
      <color rgb="FF000000"/>
      <sz val="10"/>
      <scheme val="minor"/>
    </font>
    <font>
      <name val="Aptos Narrow"/>
      <charset val="204"/>
      <family val="2"/>
      <color rgb="FF000000"/>
      <sz val="10"/>
      <scheme val="minor"/>
    </font>
    <font>
      <name val="Calibri"/>
      <family val="2"/>
      <color theme="1"/>
      <sz val="9"/>
    </font>
    <font>
      <name val="Calibri"/>
      <charset val="204"/>
      <family val="2"/>
      <b val="1"/>
      <color theme="1"/>
      <sz val="11"/>
    </font>
    <font>
      <name val="Calibri"/>
      <charset val="204"/>
      <family val="2"/>
      <b val="1"/>
      <color theme="1"/>
      <sz val="9"/>
    </font>
    <font>
      <name val="Calibri"/>
      <charset val="204"/>
      <family val="2"/>
      <color theme="1"/>
      <sz val="9"/>
    </font>
    <font>
      <b val="1"/>
      <color rgb="000563C1"/>
      <sz val="11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00E8F0FE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textRotation="255"/>
    </xf>
    <xf numFmtId="0" fontId="3" fillId="0" borderId="0" pivotButton="0" quotePrefix="0" xfId="0"/>
    <xf numFmtId="3" fontId="4" fillId="0" borderId="0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0" fontId="0" fillId="0" borderId="2" pivotButton="0" quotePrefix="0" xfId="0"/>
    <xf numFmtId="0" fontId="4" fillId="0" borderId="2" applyAlignment="1" pivotButton="0" quotePrefix="0" xfId="0">
      <alignment vertical="center"/>
    </xf>
    <xf numFmtId="3" fontId="6" fillId="0" borderId="3" applyAlignment="1" pivotButton="0" quotePrefix="0" xfId="0">
      <alignment vertical="center"/>
    </xf>
    <xf numFmtId="3" fontId="6" fillId="0" borderId="2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2" fillId="0" borderId="2" applyAlignment="1" pivotButton="0" quotePrefix="0" xfId="0">
      <alignment vertical="center" textRotation="255"/>
    </xf>
    <xf numFmtId="0" fontId="6" fillId="0" borderId="3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2" borderId="2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textRotation="255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8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 vertical="center" textRotation="255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tabSelected="1" topLeftCell="E1" zoomScale="150" zoomScaleNormal="150" workbookViewId="0">
      <selection activeCell="Q58" sqref="Q58"/>
    </sheetView>
  </sheetViews>
  <sheetFormatPr baseColWidth="10" defaultRowHeight="16"/>
  <cols>
    <col width="7.83203125" customWidth="1" min="1" max="1"/>
    <col width="23.83203125" bestFit="1" customWidth="1" min="2" max="2"/>
    <col width="10.1640625" bestFit="1" customWidth="1" min="3" max="3"/>
    <col width="7.83203125" customWidth="1" min="7" max="7"/>
    <col width="23.83203125" bestFit="1" customWidth="1" min="8" max="8"/>
    <col width="10.1640625" bestFit="1" customWidth="1" min="9" max="9"/>
    <col width="7" bestFit="1" customWidth="1" min="10" max="10"/>
    <col width="7.83203125" customWidth="1" min="13" max="13"/>
    <col width="23.83203125" bestFit="1" customWidth="1" min="14" max="14"/>
    <col width="11.33203125" bestFit="1" customWidth="1" min="17" max="17"/>
  </cols>
  <sheetData>
    <row r="1" ht="24" customHeight="1">
      <c r="A1" s="27" t="n"/>
      <c r="B1" s="30" t="inlineStr">
        <is>
          <t>TOP CEO EVENT</t>
        </is>
      </c>
      <c r="G1" s="30" t="inlineStr">
        <is>
          <t>ULTIMATE CEO EVENT</t>
        </is>
      </c>
      <c r="M1" s="30" t="inlineStr">
        <is>
          <t>WARM UP EVENT</t>
        </is>
      </c>
    </row>
    <row r="2" ht="6" customHeight="1">
      <c r="B2" s="28" t="n"/>
      <c r="E2" s="4" t="n"/>
      <c r="F2" s="29" t="n"/>
      <c r="G2" s="28" t="n"/>
      <c r="J2" s="28" t="n"/>
      <c r="K2" s="5" t="n"/>
      <c r="L2" s="29" t="n"/>
      <c r="M2" s="28" t="n"/>
      <c r="P2" s="28" t="n"/>
      <c r="Q2" s="5" t="n"/>
    </row>
    <row r="3" ht="16" customHeight="1">
      <c r="A3" s="31" t="inlineStr">
        <is>
          <t>Calculation points for events</t>
        </is>
      </c>
      <c r="Q3" s="32" t="n"/>
    </row>
    <row r="4" ht="16" customHeight="1">
      <c r="B4" s="28" t="inlineStr">
        <is>
          <t>TOP CEO EVENT</t>
        </is>
      </c>
      <c r="E4" s="4" t="n"/>
      <c r="F4" s="29" t="n"/>
      <c r="G4" s="28" t="inlineStr">
        <is>
          <t>ULTIMATE CEO EVENT</t>
        </is>
      </c>
      <c r="J4" s="28" t="n"/>
      <c r="K4" s="5" t="n"/>
      <c r="L4" s="29" t="n"/>
      <c r="M4" s="28" t="inlineStr">
        <is>
          <t>WARM UP EVENT</t>
        </is>
      </c>
      <c r="P4" s="28" t="n"/>
      <c r="Q4" s="5" t="n"/>
    </row>
    <row r="5" ht="16" customHeight="1">
      <c r="B5" s="27" t="inlineStr">
        <is>
          <t>Task</t>
        </is>
      </c>
      <c r="C5" s="27" t="inlineStr">
        <is>
          <t>Points</t>
        </is>
      </c>
      <c r="D5" s="6" t="inlineStr">
        <is>
          <t>Used</t>
        </is>
      </c>
      <c r="E5" s="7" t="inlineStr">
        <is>
          <t>Score</t>
        </is>
      </c>
      <c r="F5" s="6" t="n"/>
      <c r="H5" s="27" t="inlineStr">
        <is>
          <t>Task</t>
        </is>
      </c>
      <c r="I5" s="27" t="inlineStr">
        <is>
          <t>Points</t>
        </is>
      </c>
      <c r="J5" s="6" t="inlineStr">
        <is>
          <t>Used</t>
        </is>
      </c>
      <c r="K5" s="7" t="inlineStr">
        <is>
          <t>Score</t>
        </is>
      </c>
      <c r="L5" s="6" t="n"/>
      <c r="N5" s="27" t="inlineStr">
        <is>
          <t>Task</t>
        </is>
      </c>
      <c r="O5" s="27" t="inlineStr">
        <is>
          <t>Points</t>
        </is>
      </c>
      <c r="P5" s="6" t="inlineStr">
        <is>
          <t>Used</t>
        </is>
      </c>
      <c r="Q5" s="7" t="inlineStr">
        <is>
          <t>Score</t>
        </is>
      </c>
    </row>
    <row r="6" ht="16" customHeight="1">
      <c r="A6" s="26" t="inlineStr">
        <is>
          <t>Vehicle</t>
        </is>
      </c>
      <c r="B6" s="9" t="inlineStr">
        <is>
          <t>Use 1 item(s) to upgrade car parts</t>
        </is>
      </c>
      <c r="C6" s="10" t="n">
        <v>500</v>
      </c>
      <c r="D6" s="10" t="n">
        <v>10</v>
      </c>
      <c r="E6" s="11">
        <f>D6*C6</f>
        <v/>
      </c>
      <c r="F6" s="10" t="n"/>
      <c r="G6" s="26" t="inlineStr">
        <is>
          <t>Vehicle</t>
        </is>
      </c>
      <c r="H6" s="9" t="inlineStr">
        <is>
          <t>Use 1 item(s) to upgrade car parts</t>
        </is>
      </c>
      <c r="I6" s="10" t="n">
        <v>500</v>
      </c>
      <c r="J6" s="10" t="n">
        <v>10</v>
      </c>
      <c r="K6" s="11">
        <f>J6*I6</f>
        <v/>
      </c>
      <c r="L6" s="10" t="n"/>
      <c r="M6" s="26" t="inlineStr">
        <is>
          <t>Development</t>
        </is>
      </c>
      <c r="N6" s="9" t="inlineStr">
        <is>
          <t>Use 1 item(s) to upgrade car parts</t>
        </is>
      </c>
      <c r="O6" s="10" t="n">
        <v>500</v>
      </c>
      <c r="P6" s="10" t="n">
        <v>10</v>
      </c>
      <c r="Q6" s="11">
        <f>P6*O6</f>
        <v/>
      </c>
    </row>
    <row r="7">
      <c r="B7" s="9" t="inlineStr">
        <is>
          <t>Use 1 item(s) to promote car</t>
        </is>
      </c>
      <c r="C7" s="10" t="n">
        <v>2500</v>
      </c>
      <c r="D7" s="10" t="n">
        <v>10</v>
      </c>
      <c r="E7" s="11">
        <f>D7*C7</f>
        <v/>
      </c>
      <c r="F7" s="10" t="n"/>
      <c r="H7" s="9" t="inlineStr">
        <is>
          <t>Use 1 item(s) to promote car</t>
        </is>
      </c>
      <c r="I7" s="10" t="n">
        <v>2500</v>
      </c>
      <c r="J7" s="10" t="n">
        <v>10</v>
      </c>
      <c r="K7" s="11">
        <f>J7*I7</f>
        <v/>
      </c>
      <c r="L7" s="10" t="n"/>
      <c r="N7" s="9" t="inlineStr">
        <is>
          <t>Use 1 item(s) to promote car</t>
        </is>
      </c>
      <c r="O7" s="10" t="n">
        <v>2500</v>
      </c>
      <c r="P7" s="10" t="n">
        <v>10</v>
      </c>
      <c r="Q7" s="11">
        <f>P7*O7</f>
        <v/>
      </c>
    </row>
    <row r="8">
      <c r="B8" s="9" t="inlineStr">
        <is>
          <t>Use Spark Plugs (Novice)</t>
        </is>
      </c>
      <c r="C8" s="10" t="n">
        <v>1000</v>
      </c>
      <c r="D8" s="10" t="n">
        <v>10</v>
      </c>
      <c r="E8" s="11">
        <f>D8*C8</f>
        <v/>
      </c>
      <c r="F8" s="10" t="n"/>
      <c r="H8" s="9" t="inlineStr">
        <is>
          <t>Use Spark Plugs (Novice)</t>
        </is>
      </c>
      <c r="I8" s="10" t="n">
        <v>1000</v>
      </c>
      <c r="J8" s="10" t="n">
        <v>10</v>
      </c>
      <c r="K8" s="11">
        <f>J8*I8</f>
        <v/>
      </c>
      <c r="L8" s="10" t="n"/>
      <c r="N8" s="9" t="inlineStr">
        <is>
          <t>Use Spark Plugs (Novice)</t>
        </is>
      </c>
      <c r="O8" s="10" t="n">
        <v>400</v>
      </c>
      <c r="P8" s="10" t="n">
        <v>10</v>
      </c>
      <c r="Q8" s="11">
        <f>P8*O8</f>
        <v/>
      </c>
    </row>
    <row r="9">
      <c r="B9" s="9" t="inlineStr">
        <is>
          <t>Use Ignition Coil (Novice)</t>
        </is>
      </c>
      <c r="C9" s="10" t="n">
        <v>10000</v>
      </c>
      <c r="D9" s="10" t="n">
        <v>10</v>
      </c>
      <c r="E9" s="11">
        <f>D9*C9</f>
        <v/>
      </c>
      <c r="F9" s="10" t="n"/>
      <c r="H9" s="9" t="inlineStr">
        <is>
          <t>Use Ignition Coil (Novice)</t>
        </is>
      </c>
      <c r="I9" s="10" t="n">
        <v>10000</v>
      </c>
      <c r="J9" s="10" t="n">
        <v>10</v>
      </c>
      <c r="K9" s="11">
        <f>J9*I9</f>
        <v/>
      </c>
      <c r="L9" s="10" t="n"/>
      <c r="N9" s="9" t="inlineStr">
        <is>
          <t>Use Spark Plugs (Enhanced)</t>
        </is>
      </c>
      <c r="O9" s="10" t="n">
        <v>50000</v>
      </c>
      <c r="P9" s="10" t="n">
        <v>10</v>
      </c>
      <c r="Q9" s="11">
        <f>P9*O9</f>
        <v/>
      </c>
    </row>
    <row r="10">
      <c r="B10" s="9" t="inlineStr">
        <is>
          <t>Use Spark Plugs (Enhanced)</t>
        </is>
      </c>
      <c r="C10" s="10" t="n">
        <v>125000</v>
      </c>
      <c r="D10" s="5" t="n">
        <v>152</v>
      </c>
      <c r="E10" s="11">
        <f>D10*C10</f>
        <v/>
      </c>
      <c r="F10" s="10" t="n"/>
      <c r="H10" s="9" t="inlineStr">
        <is>
          <t>Use Spark Plugs (Enhanced)</t>
        </is>
      </c>
      <c r="I10" s="10" t="n">
        <v>125000</v>
      </c>
      <c r="J10" s="5" t="n">
        <v>152</v>
      </c>
      <c r="K10" s="11">
        <f>J10*I10</f>
        <v/>
      </c>
      <c r="L10" s="10" t="n"/>
      <c r="N10" s="9" t="inlineStr">
        <is>
          <t>Use Spark Plugs (Elite)</t>
        </is>
      </c>
      <c r="O10" s="10" t="n">
        <v>125000</v>
      </c>
      <c r="P10" s="5" t="n">
        <v>152</v>
      </c>
      <c r="Q10" s="11">
        <f>P10*O10</f>
        <v/>
      </c>
    </row>
    <row r="11">
      <c r="B11" s="9" t="inlineStr">
        <is>
          <t>Use Ignition Coil (Enhanced)</t>
        </is>
      </c>
      <c r="C11" s="10" t="n">
        <v>1250000</v>
      </c>
      <c r="D11" s="5" t="n">
        <v>9</v>
      </c>
      <c r="E11" s="11">
        <f>D11*C11</f>
        <v/>
      </c>
      <c r="F11" s="10" t="n"/>
      <c r="H11" s="9" t="inlineStr">
        <is>
          <t>Use Ignition Coil (Enhanced)</t>
        </is>
      </c>
      <c r="I11" s="10" t="n">
        <v>1250000</v>
      </c>
      <c r="J11" s="5" t="n">
        <v>9</v>
      </c>
      <c r="K11" s="11">
        <f>J11*I11</f>
        <v/>
      </c>
      <c r="L11" s="10" t="n"/>
      <c r="N11" s="9" t="inlineStr">
        <is>
          <t>Use Ignition Coil (Novice)</t>
        </is>
      </c>
      <c r="O11" s="10" t="n">
        <v>4000</v>
      </c>
      <c r="P11" s="5" t="n">
        <v>9</v>
      </c>
      <c r="Q11" s="11">
        <f>P11*O11</f>
        <v/>
      </c>
    </row>
    <row r="12">
      <c r="B12" s="9" t="inlineStr">
        <is>
          <t>Use Spark Plugs (Elite)</t>
        </is>
      </c>
      <c r="C12" s="10" t="n">
        <v>15625000</v>
      </c>
      <c r="D12" s="5" t="n"/>
      <c r="E12" s="11">
        <f>D12*C12</f>
        <v/>
      </c>
      <c r="F12" s="10" t="n"/>
      <c r="H12" s="9" t="inlineStr">
        <is>
          <t>Use Spark Plugs (Elite)</t>
        </is>
      </c>
      <c r="I12" s="10" t="n">
        <v>15625000</v>
      </c>
      <c r="J12" s="5" t="n"/>
      <c r="K12" s="11">
        <f>J12*I12</f>
        <v/>
      </c>
      <c r="L12" s="10" t="n"/>
      <c r="N12" s="9" t="inlineStr">
        <is>
          <t>Use Ignition Coil (Enhanced)</t>
        </is>
      </c>
      <c r="O12" s="10" t="n">
        <v>500000</v>
      </c>
      <c r="P12" s="5" t="n"/>
      <c r="Q12" s="11">
        <f>P12*O12</f>
        <v/>
      </c>
    </row>
    <row r="13">
      <c r="B13" s="9" t="inlineStr">
        <is>
          <t>Use Ignition Coil (Elite)</t>
        </is>
      </c>
      <c r="C13" s="10" t="n">
        <v>156250000</v>
      </c>
      <c r="D13" s="5" t="n"/>
      <c r="E13" s="11">
        <f>D13*C13</f>
        <v/>
      </c>
      <c r="F13" s="10" t="n"/>
      <c r="H13" s="9" t="inlineStr">
        <is>
          <t>Use Ignition Coil (Elite)</t>
        </is>
      </c>
      <c r="I13" s="10" t="n">
        <v>156250000</v>
      </c>
      <c r="J13" s="5" t="n"/>
      <c r="K13" s="11">
        <f>J13*I13</f>
        <v/>
      </c>
      <c r="L13" s="10" t="n"/>
      <c r="N13" s="9" t="inlineStr">
        <is>
          <t>Use Ignition Coil (Elite)</t>
        </is>
      </c>
      <c r="O13" s="10" t="n">
        <v>62500000</v>
      </c>
      <c r="P13" s="5" t="n"/>
      <c r="Q13" s="11">
        <f>P13*O13</f>
        <v/>
      </c>
    </row>
    <row r="14">
      <c r="B14" s="9" t="inlineStr">
        <is>
          <t>Use Gold Bar</t>
        </is>
      </c>
      <c r="C14" s="10" t="n">
        <v>1</v>
      </c>
      <c r="D14" s="5" t="n"/>
      <c r="E14" s="11">
        <f>D14*C14</f>
        <v/>
      </c>
      <c r="F14" s="10" t="n"/>
      <c r="H14" s="9" t="inlineStr">
        <is>
          <t>Use Gold Bar</t>
        </is>
      </c>
      <c r="I14" s="10" t="n">
        <v>1</v>
      </c>
      <c r="J14" s="5" t="n"/>
      <c r="K14" s="11">
        <f>J14*I14</f>
        <v/>
      </c>
      <c r="L14" s="10" t="n"/>
      <c r="N14" s="9" t="inlineStr">
        <is>
          <t>Use Glass x1</t>
        </is>
      </c>
      <c r="O14" s="10" t="n">
        <v>500</v>
      </c>
      <c r="P14" s="5" t="n"/>
      <c r="Q14" s="11">
        <f>P14*O14</f>
        <v/>
      </c>
    </row>
    <row r="15">
      <c r="B15" s="9" t="inlineStr">
        <is>
          <t>Record Single</t>
        </is>
      </c>
      <c r="C15" s="10" t="n">
        <v>50000</v>
      </c>
      <c r="D15" s="5" t="n"/>
      <c r="E15" s="11">
        <f>D15*C15</f>
        <v/>
      </c>
      <c r="F15" s="10" t="n"/>
      <c r="H15" s="9" t="inlineStr">
        <is>
          <t>Record Single</t>
        </is>
      </c>
      <c r="I15" s="10" t="n">
        <v>50000</v>
      </c>
      <c r="J15" s="5" t="n"/>
      <c r="K15" s="11">
        <f>J15*I15</f>
        <v/>
      </c>
      <c r="L15" s="10" t="n"/>
      <c r="N15" s="9" t="inlineStr">
        <is>
          <t>Use Basic Wood x1</t>
        </is>
      </c>
      <c r="O15" s="10" t="n">
        <v>400</v>
      </c>
      <c r="P15" s="5" t="n"/>
      <c r="Q15" s="11">
        <f>P15*O15</f>
        <v/>
      </c>
    </row>
    <row r="16">
      <c r="B16" s="9" t="inlineStr">
        <is>
          <t>Use EXP Card x24</t>
        </is>
      </c>
      <c r="C16" s="10" t="n">
        <v>1</v>
      </c>
      <c r="D16" s="5" t="n">
        <v>1000000</v>
      </c>
      <c r="E16" s="11">
        <f>(D16*C16)/24</f>
        <v/>
      </c>
      <c r="F16" s="10" t="n"/>
      <c r="H16" s="9" t="inlineStr">
        <is>
          <t>Use EXP Card x24</t>
        </is>
      </c>
      <c r="I16" s="10" t="n">
        <v>1</v>
      </c>
      <c r="J16" s="5" t="n">
        <v>1000000</v>
      </c>
      <c r="K16" s="11">
        <f>(J16*I16)/24</f>
        <v/>
      </c>
      <c r="L16" s="10" t="n"/>
      <c r="N16" s="9" t="inlineStr">
        <is>
          <t>Use High-Quality Wood x1</t>
        </is>
      </c>
      <c r="O16" s="10" t="n">
        <v>50000</v>
      </c>
      <c r="P16" s="5" t="n">
        <v>1000000</v>
      </c>
      <c r="Q16" s="11">
        <f>P16*O16</f>
        <v/>
      </c>
    </row>
    <row r="17" ht="16" customHeight="1">
      <c r="B17" s="9" t="inlineStr">
        <is>
          <t>Perform in Concert</t>
        </is>
      </c>
      <c r="C17" s="10" t="n">
        <v>10000</v>
      </c>
      <c r="E17" s="11">
        <f>D17*C17</f>
        <v/>
      </c>
      <c r="F17" s="10" t="n"/>
      <c r="H17" s="9" t="inlineStr">
        <is>
          <t>Perform in Concert</t>
        </is>
      </c>
      <c r="I17" s="10" t="n">
        <v>10000</v>
      </c>
      <c r="K17" s="11">
        <f>J17*I17</f>
        <v/>
      </c>
      <c r="L17" s="10" t="n"/>
      <c r="N17" s="9" t="inlineStr">
        <is>
          <t>Use Premium Wood x1</t>
        </is>
      </c>
      <c r="O17" s="10" t="n">
        <v>6250000</v>
      </c>
      <c r="Q17" s="11">
        <f>P17*O17</f>
        <v/>
      </c>
    </row>
    <row r="18">
      <c r="B18" s="9" t="inlineStr">
        <is>
          <t>Perform in Stadium</t>
        </is>
      </c>
      <c r="C18" s="10" t="n">
        <v>40000</v>
      </c>
      <c r="E18" s="11">
        <f>D18*C18</f>
        <v/>
      </c>
      <c r="F18" s="10" t="n"/>
      <c r="H18" s="9" t="inlineStr">
        <is>
          <t>Perform in Stadium</t>
        </is>
      </c>
      <c r="I18" s="10" t="n">
        <v>40000</v>
      </c>
      <c r="K18" s="11">
        <f>J18*I18</f>
        <v/>
      </c>
      <c r="L18" s="10" t="n"/>
      <c r="N18" s="9" t="inlineStr">
        <is>
          <t>Use Basic Steel Ingots x1</t>
        </is>
      </c>
      <c r="O18" s="10" t="n">
        <v>4000</v>
      </c>
      <c r="Q18" s="11">
        <f>P18*O18</f>
        <v/>
      </c>
    </row>
    <row r="19" ht="16" customHeight="1">
      <c r="A19" s="12" t="n"/>
      <c r="B19" s="23" t="inlineStr">
        <is>
          <t>TOTAL</t>
        </is>
      </c>
      <c r="C19" s="12" t="n"/>
      <c r="D19" s="13" t="n"/>
      <c r="E19" s="14">
        <f>SUM(E6:E18)</f>
        <v/>
      </c>
      <c r="F19" s="15" t="n"/>
      <c r="G19" s="12" t="n"/>
      <c r="H19" s="23" t="inlineStr">
        <is>
          <t>TOTAL</t>
        </is>
      </c>
      <c r="I19" s="12" t="n"/>
      <c r="J19" s="13" t="n"/>
      <c r="K19" s="14">
        <f>SUM(K6:K18)</f>
        <v/>
      </c>
      <c r="L19" s="15" t="n"/>
      <c r="N19" s="9" t="inlineStr">
        <is>
          <t>Use High-Quality Steel Ingots x1</t>
        </is>
      </c>
      <c r="O19" s="10" t="n">
        <v>500000</v>
      </c>
      <c r="Q19" s="11">
        <f>P19*O19</f>
        <v/>
      </c>
    </row>
    <row r="20">
      <c r="A20" s="26" t="inlineStr">
        <is>
          <t>Headquarters</t>
        </is>
      </c>
      <c r="B20" s="9" t="inlineStr">
        <is>
          <t>Use Glass x1</t>
        </is>
      </c>
      <c r="C20" s="10" t="n">
        <v>500</v>
      </c>
      <c r="D20" s="10" t="n">
        <v>10</v>
      </c>
      <c r="E20" s="16">
        <f>D20*C20</f>
        <v/>
      </c>
      <c r="F20" s="5" t="n"/>
      <c r="G20" s="26" t="inlineStr">
        <is>
          <t>Headquarters</t>
        </is>
      </c>
      <c r="H20" s="9" t="inlineStr">
        <is>
          <t>Use Glass x1</t>
        </is>
      </c>
      <c r="I20" s="10" t="n">
        <v>500</v>
      </c>
      <c r="J20" s="10" t="n">
        <v>10</v>
      </c>
      <c r="K20" s="16">
        <f>J20*I20</f>
        <v/>
      </c>
      <c r="L20" s="5" t="n"/>
      <c r="N20" s="9" t="inlineStr">
        <is>
          <t>Use Premium Steel Ingots x1</t>
        </is>
      </c>
      <c r="O20" s="10" t="n">
        <v>62500000</v>
      </c>
      <c r="Q20" s="11">
        <f>P20*O20</f>
        <v/>
      </c>
    </row>
    <row r="21">
      <c r="B21" s="9" t="inlineStr">
        <is>
          <t>Use Basic Wood x1</t>
        </is>
      </c>
      <c r="C21" s="10" t="n">
        <v>1000</v>
      </c>
      <c r="D21" s="10" t="n">
        <v>10</v>
      </c>
      <c r="E21" s="16">
        <f>D21*C21</f>
        <v/>
      </c>
      <c r="F21" s="5" t="n"/>
      <c r="H21" s="9" t="inlineStr">
        <is>
          <t>Use Basic Wood x1</t>
        </is>
      </c>
      <c r="I21" s="10" t="n">
        <v>1000</v>
      </c>
      <c r="J21" s="10" t="n">
        <v>10</v>
      </c>
      <c r="K21" s="16">
        <f>J21*I21</f>
        <v/>
      </c>
      <c r="L21" s="5" t="n"/>
      <c r="N21" s="9" t="inlineStr">
        <is>
          <t>Use Gold Bar</t>
        </is>
      </c>
      <c r="O21" s="10" t="n">
        <v>1</v>
      </c>
      <c r="Q21" s="11">
        <f>P21*O21</f>
        <v/>
      </c>
    </row>
    <row r="22">
      <c r="B22" s="9" t="inlineStr">
        <is>
          <t>Use Basic Steel Ingots x1</t>
        </is>
      </c>
      <c r="C22" s="10" t="n">
        <v>10000</v>
      </c>
      <c r="D22" s="10" t="n">
        <v>10</v>
      </c>
      <c r="E22" s="16">
        <f>D22*C22</f>
        <v/>
      </c>
      <c r="F22" s="5" t="n"/>
      <c r="H22" s="9" t="inlineStr">
        <is>
          <t>Use Basic Steel Ingots x1</t>
        </is>
      </c>
      <c r="I22" s="10" t="n">
        <v>10000</v>
      </c>
      <c r="J22" s="10" t="n">
        <v>10</v>
      </c>
      <c r="K22" s="16">
        <f>J22*I22</f>
        <v/>
      </c>
      <c r="L22" s="5" t="n"/>
      <c r="N22" s="9" t="inlineStr">
        <is>
          <t>Record Single</t>
        </is>
      </c>
      <c r="O22" s="10" t="n">
        <v>50000</v>
      </c>
      <c r="Q22" s="11">
        <f>P22*O22</f>
        <v/>
      </c>
    </row>
    <row r="23">
      <c r="B23" s="9" t="inlineStr">
        <is>
          <t>Use High-Quality Wood x1</t>
        </is>
      </c>
      <c r="C23" s="10" t="n">
        <v>125000</v>
      </c>
      <c r="D23" s="10" t="n"/>
      <c r="E23" s="16">
        <f>D23*C23</f>
        <v/>
      </c>
      <c r="F23" s="5" t="n"/>
      <c r="H23" s="9" t="inlineStr">
        <is>
          <t>Use High-Quality Wood x1</t>
        </is>
      </c>
      <c r="I23" s="10" t="n">
        <v>125000</v>
      </c>
      <c r="J23" s="10" t="n"/>
      <c r="K23" s="16">
        <f>J23*I23</f>
        <v/>
      </c>
      <c r="L23" s="5" t="n"/>
      <c r="N23" s="9" t="inlineStr">
        <is>
          <t>Use EXP Card x24</t>
        </is>
      </c>
      <c r="O23" s="10" t="n">
        <v>1</v>
      </c>
      <c r="Q23" s="11">
        <f>(P23*O23)/24</f>
        <v/>
      </c>
    </row>
    <row r="24">
      <c r="B24" s="9" t="inlineStr">
        <is>
          <t>Use High-Quality Steel Ingots x1</t>
        </is>
      </c>
      <c r="C24" s="10" t="n">
        <v>1250000</v>
      </c>
      <c r="D24" s="10" t="n"/>
      <c r="E24" s="16">
        <f>D24*C24</f>
        <v/>
      </c>
      <c r="F24" s="5" t="n"/>
      <c r="H24" s="9" t="inlineStr">
        <is>
          <t>Use High-Quality Steel Ingots x1</t>
        </is>
      </c>
      <c r="I24" s="10" t="n">
        <v>1250000</v>
      </c>
      <c r="J24" s="10" t="n"/>
      <c r="K24" s="16">
        <f>J24*I24</f>
        <v/>
      </c>
      <c r="L24" s="5" t="n"/>
      <c r="N24" s="9" t="inlineStr">
        <is>
          <t>Perform in Concert</t>
        </is>
      </c>
      <c r="O24" s="10" t="n">
        <v>10000</v>
      </c>
      <c r="Q24" s="11">
        <f>P24*O24</f>
        <v/>
      </c>
    </row>
    <row r="25">
      <c r="B25" s="9" t="inlineStr">
        <is>
          <t>Use Premium Wood x1</t>
        </is>
      </c>
      <c r="C25" s="10" t="n">
        <v>15625000</v>
      </c>
      <c r="D25" s="5" t="n"/>
      <c r="E25" s="16">
        <f>D25*C25</f>
        <v/>
      </c>
      <c r="F25" s="5" t="n"/>
      <c r="H25" s="9" t="inlineStr">
        <is>
          <t>Use Premium Wood x1</t>
        </is>
      </c>
      <c r="I25" s="10" t="n">
        <v>15625000</v>
      </c>
      <c r="J25" s="5" t="n"/>
      <c r="K25" s="16">
        <f>J25*I25</f>
        <v/>
      </c>
      <c r="L25" s="5" t="n"/>
      <c r="N25" s="9" t="inlineStr">
        <is>
          <t>Perform in Stadium</t>
        </is>
      </c>
      <c r="O25" s="10" t="n">
        <v>40000</v>
      </c>
      <c r="Q25" s="11">
        <f>P25*O25</f>
        <v/>
      </c>
    </row>
    <row r="26">
      <c r="B26" s="9" t="inlineStr">
        <is>
          <t>Use Premium Steel Ingots x1</t>
        </is>
      </c>
      <c r="C26" s="10" t="n">
        <v>156250000</v>
      </c>
      <c r="D26" s="5" t="n"/>
      <c r="E26" s="16">
        <f>D26*C26</f>
        <v/>
      </c>
      <c r="F26" s="5" t="n"/>
      <c r="H26" s="9" t="inlineStr">
        <is>
          <t>Use Premium Steel Ingots x1</t>
        </is>
      </c>
      <c r="I26" s="10" t="n">
        <v>156250000</v>
      </c>
      <c r="J26" s="5" t="n"/>
      <c r="K26" s="16">
        <f>J26*I26</f>
        <v/>
      </c>
      <c r="L26" s="5" t="n"/>
      <c r="N26" s="9" t="inlineStr">
        <is>
          <t>Earn 1 Gold Bar in the Hotel</t>
        </is>
      </c>
      <c r="O26" s="10" t="n">
        <v>8</v>
      </c>
      <c r="Q26" s="11">
        <f>P26*O26</f>
        <v/>
      </c>
    </row>
    <row r="27">
      <c r="B27" s="9" t="inlineStr">
        <is>
          <t>Use Gold Bar</t>
        </is>
      </c>
      <c r="C27" s="10" t="n">
        <v>1</v>
      </c>
      <c r="D27" s="5" t="n"/>
      <c r="E27" s="16">
        <f>D27*C27</f>
        <v/>
      </c>
      <c r="F27" s="5" t="n"/>
      <c r="H27" s="9" t="inlineStr">
        <is>
          <t>Use Gold Bar</t>
        </is>
      </c>
      <c r="I27" s="10" t="n">
        <v>1</v>
      </c>
      <c r="J27" s="5" t="n"/>
      <c r="K27" s="16">
        <f>J27*I27</f>
        <v/>
      </c>
      <c r="L27" s="5" t="n"/>
      <c r="N27" s="23" t="inlineStr">
        <is>
          <t>TOTAL</t>
        </is>
      </c>
      <c r="O27" s="12" t="n"/>
      <c r="P27" s="13" t="n"/>
      <c r="Q27" s="14">
        <f>SUM(Q6:Q26)</f>
        <v/>
      </c>
    </row>
    <row r="28">
      <c r="B28" s="9" t="inlineStr">
        <is>
          <t>Record Single</t>
        </is>
      </c>
      <c r="C28" s="10" t="n">
        <v>50000</v>
      </c>
      <c r="D28" s="5" t="n"/>
      <c r="E28" s="16">
        <f>D28*C28</f>
        <v/>
      </c>
      <c r="F28" s="5" t="n"/>
      <c r="H28" s="9" t="inlineStr">
        <is>
          <t>Record Single</t>
        </is>
      </c>
      <c r="I28" s="10" t="n">
        <v>50000</v>
      </c>
      <c r="J28" s="5" t="n"/>
      <c r="K28" s="16">
        <f>J28*I28</f>
        <v/>
      </c>
      <c r="L28" s="5" t="n"/>
      <c r="M28" s="26" t="inlineStr">
        <is>
          <t>Innovation</t>
        </is>
      </c>
      <c r="N28" s="9" t="inlineStr">
        <is>
          <t>Use Collection Gems (Super Rare)</t>
        </is>
      </c>
      <c r="O28" s="20" t="n">
        <v>500</v>
      </c>
      <c r="P28" s="10" t="n">
        <v>10</v>
      </c>
      <c r="Q28" s="16">
        <f>O28*P28</f>
        <v/>
      </c>
    </row>
    <row r="29">
      <c r="B29" s="9" t="inlineStr">
        <is>
          <t>Use EXP Card x24</t>
        </is>
      </c>
      <c r="C29" s="10" t="n">
        <v>1</v>
      </c>
      <c r="D29" s="5" t="n"/>
      <c r="E29" s="16">
        <f>D29*C29/24</f>
        <v/>
      </c>
      <c r="F29" s="5" t="n"/>
      <c r="H29" s="9" t="inlineStr">
        <is>
          <t>Use EXP Card x24</t>
        </is>
      </c>
      <c r="I29" s="10" t="n">
        <v>1</v>
      </c>
      <c r="J29" s="5" t="n"/>
      <c r="K29" s="16">
        <f>J29*I29/24</f>
        <v/>
      </c>
      <c r="L29" s="5" t="n"/>
      <c r="N29" s="9" t="inlineStr">
        <is>
          <t>Use Collection Gems (Legendary)</t>
        </is>
      </c>
      <c r="O29" s="20" t="n">
        <v>1000</v>
      </c>
      <c r="P29" s="10" t="n">
        <v>10</v>
      </c>
      <c r="Q29" s="16">
        <f>O29*P29</f>
        <v/>
      </c>
    </row>
    <row r="30" ht="16" customHeight="1">
      <c r="B30" s="9" t="inlineStr">
        <is>
          <t>Perform in Concert</t>
        </is>
      </c>
      <c r="C30" s="10" t="n">
        <v>10000</v>
      </c>
      <c r="D30" s="5" t="n"/>
      <c r="E30" s="16">
        <f>D30*C30</f>
        <v/>
      </c>
      <c r="F30" s="5" t="n"/>
      <c r="H30" s="9" t="inlineStr">
        <is>
          <t>Perform in Concert</t>
        </is>
      </c>
      <c r="I30" s="10" t="n">
        <v>10000</v>
      </c>
      <c r="J30" s="5" t="n"/>
      <c r="K30" s="16">
        <f>J30*I30</f>
        <v/>
      </c>
      <c r="L30" s="5" t="n"/>
      <c r="N30" s="9" t="inlineStr">
        <is>
          <t>Use Basic Sandstone</t>
        </is>
      </c>
      <c r="O30" s="9" t="n">
        <v>1000</v>
      </c>
      <c r="P30" s="10" t="n">
        <v>10</v>
      </c>
      <c r="Q30" s="16">
        <f>O30*P30</f>
        <v/>
      </c>
    </row>
    <row r="31">
      <c r="B31" s="9" t="inlineStr">
        <is>
          <t>Perform in Stadium</t>
        </is>
      </c>
      <c r="C31" s="10" t="n">
        <v>40000</v>
      </c>
      <c r="D31" s="5" t="n"/>
      <c r="E31" s="16">
        <f>D31*C31</f>
        <v/>
      </c>
      <c r="F31" s="5" t="n"/>
      <c r="H31" s="9" t="inlineStr">
        <is>
          <t>Perform in Stadium</t>
        </is>
      </c>
      <c r="I31" s="10" t="n">
        <v>40000</v>
      </c>
      <c r="J31" s="5" t="n"/>
      <c r="K31" s="16">
        <f>J31*I31</f>
        <v/>
      </c>
      <c r="L31" s="5" t="n"/>
      <c r="N31" s="9" t="inlineStr">
        <is>
          <t>Use High-Quality Sandstone</t>
        </is>
      </c>
      <c r="O31" s="9" t="n">
        <v>125000</v>
      </c>
      <c r="P31" s="10" t="n"/>
      <c r="Q31" s="16">
        <f>O31*P31</f>
        <v/>
      </c>
    </row>
    <row r="32" ht="16" customHeight="1">
      <c r="A32" s="17" t="n"/>
      <c r="B32" s="23" t="inlineStr">
        <is>
          <t>TOTAL</t>
        </is>
      </c>
      <c r="C32" s="12" t="n"/>
      <c r="D32" s="13" t="n"/>
      <c r="E32" s="18">
        <f>SUM(E20:E31)</f>
        <v/>
      </c>
      <c r="F32" s="19" t="n"/>
      <c r="G32" s="17" t="n"/>
      <c r="H32" s="23" t="inlineStr">
        <is>
          <t>TOTAL</t>
        </is>
      </c>
      <c r="I32" s="12" t="n"/>
      <c r="J32" s="13" t="n"/>
      <c r="K32" s="18">
        <f>SUM(K20:K31)</f>
        <v/>
      </c>
      <c r="L32" s="19" t="n"/>
      <c r="N32" s="9" t="inlineStr">
        <is>
          <t>Use Premium Sandstone</t>
        </is>
      </c>
      <c r="O32" s="9" t="n">
        <v>15625000</v>
      </c>
      <c r="P32" s="10" t="n"/>
      <c r="Q32" s="16">
        <f>O32*P32</f>
        <v/>
      </c>
    </row>
    <row r="33">
      <c r="A33" s="26" t="inlineStr">
        <is>
          <t>Collectibles</t>
        </is>
      </c>
      <c r="B33" s="9" t="inlineStr">
        <is>
          <t>Use Collection Gems (Super Rare)</t>
        </is>
      </c>
      <c r="C33" s="20" t="n">
        <v>500</v>
      </c>
      <c r="D33" s="10" t="n">
        <v>10</v>
      </c>
      <c r="E33" s="16">
        <f>C33*D33</f>
        <v/>
      </c>
      <c r="F33" s="5" t="n"/>
      <c r="G33" s="26" t="inlineStr">
        <is>
          <t>Collectibles</t>
        </is>
      </c>
      <c r="H33" s="9" t="inlineStr">
        <is>
          <t>Use Collection Gems (Super Rare)</t>
        </is>
      </c>
      <c r="I33" s="20" t="n">
        <v>500</v>
      </c>
      <c r="J33" s="10" t="n">
        <v>10</v>
      </c>
      <c r="K33" s="16">
        <f>I33*J33</f>
        <v/>
      </c>
      <c r="L33" s="5" t="n"/>
      <c r="N33" s="9" t="inlineStr">
        <is>
          <t>Use Basic Tile</t>
        </is>
      </c>
      <c r="O33" s="9" t="n">
        <v>10000</v>
      </c>
      <c r="P33" s="10" t="n"/>
      <c r="Q33" s="16">
        <f>O33*P33</f>
        <v/>
      </c>
    </row>
    <row r="34">
      <c r="B34" s="9" t="inlineStr">
        <is>
          <t>Use Collection Gems (Legendary)</t>
        </is>
      </c>
      <c r="C34" s="20" t="n">
        <v>1000</v>
      </c>
      <c r="D34" s="10" t="n">
        <v>10</v>
      </c>
      <c r="E34" s="16">
        <f>C34*D34</f>
        <v/>
      </c>
      <c r="F34" s="5" t="n"/>
      <c r="H34" s="9" t="inlineStr">
        <is>
          <t>Use Collection Gems (Legendary)</t>
        </is>
      </c>
      <c r="I34" s="20" t="n">
        <v>1000</v>
      </c>
      <c r="J34" s="10" t="n">
        <v>10</v>
      </c>
      <c r="K34" s="16">
        <f>I34*J34</f>
        <v/>
      </c>
      <c r="L34" s="5" t="n"/>
      <c r="N34" s="9" t="inlineStr">
        <is>
          <t>Use High-Quality Tile</t>
        </is>
      </c>
      <c r="O34" s="9" t="n">
        <v>1250000</v>
      </c>
      <c r="P34" s="10" t="n"/>
      <c r="Q34" s="16">
        <f>O34*P34</f>
        <v/>
      </c>
    </row>
    <row r="35">
      <c r="B35" s="9" t="inlineStr">
        <is>
          <t>Use Basic Sandstone</t>
        </is>
      </c>
      <c r="C35" s="9" t="n">
        <v>2000</v>
      </c>
      <c r="D35" s="10" t="n">
        <v>10</v>
      </c>
      <c r="E35" s="16">
        <f>C35*D35</f>
        <v/>
      </c>
      <c r="F35" s="5" t="n"/>
      <c r="H35" s="9" t="inlineStr">
        <is>
          <t>Use Basic Sandstone</t>
        </is>
      </c>
      <c r="I35" s="9" t="n">
        <v>2000</v>
      </c>
      <c r="J35" s="10" t="n">
        <v>10</v>
      </c>
      <c r="K35" s="16">
        <f>I35*J35</f>
        <v/>
      </c>
      <c r="L35" s="5" t="n"/>
      <c r="N35" s="9" t="inlineStr">
        <is>
          <t>Use Premium Tile</t>
        </is>
      </c>
      <c r="O35" s="9" t="n">
        <v>156250000</v>
      </c>
      <c r="P35" s="10" t="n"/>
      <c r="Q35" s="16">
        <f>O35*P35</f>
        <v/>
      </c>
    </row>
    <row r="36">
      <c r="B36" s="9" t="inlineStr">
        <is>
          <t>Use Basic Tile</t>
        </is>
      </c>
      <c r="C36" t="n">
        <v>20000</v>
      </c>
      <c r="D36" s="10" t="n">
        <v>10</v>
      </c>
      <c r="E36" s="16">
        <f>C36*D36</f>
        <v/>
      </c>
      <c r="F36" s="5" t="n"/>
      <c r="H36" s="9" t="inlineStr">
        <is>
          <t>Use Basic Tile</t>
        </is>
      </c>
      <c r="I36" t="n">
        <v>20000</v>
      </c>
      <c r="J36" s="10" t="n">
        <v>10</v>
      </c>
      <c r="K36" s="16">
        <f>I36*J36</f>
        <v/>
      </c>
      <c r="L36" s="5" t="n"/>
      <c r="N36" s="9" t="inlineStr">
        <is>
          <t>Use Construction Drones</t>
        </is>
      </c>
      <c r="O36" s="9" t="n">
        <v>500</v>
      </c>
      <c r="P36" s="10" t="n"/>
      <c r="Q36" s="16">
        <f>O36*P36</f>
        <v/>
      </c>
    </row>
    <row r="37">
      <c r="B37" s="9" t="inlineStr">
        <is>
          <t>Use High-Quality Sandstone</t>
        </is>
      </c>
      <c r="C37" t="n">
        <v>250000</v>
      </c>
      <c r="D37" s="5" t="n"/>
      <c r="E37" s="16">
        <f>C37*D37</f>
        <v/>
      </c>
      <c r="F37" s="5" t="n"/>
      <c r="H37" s="9" t="inlineStr">
        <is>
          <t>Use High-Quality Sandstone</t>
        </is>
      </c>
      <c r="I37" t="n">
        <v>250000</v>
      </c>
      <c r="J37" s="5" t="n"/>
      <c r="K37" s="16">
        <f>I37*J37</f>
        <v/>
      </c>
      <c r="L37" s="5" t="n"/>
      <c r="N37" s="9" t="inlineStr">
        <is>
          <t>Use Villa Design Draft</t>
        </is>
      </c>
      <c r="O37" s="9" t="n">
        <v>5000</v>
      </c>
      <c r="P37" s="10" t="n"/>
      <c r="Q37" s="16">
        <f>O37*P37</f>
        <v/>
      </c>
    </row>
    <row r="38">
      <c r="B38" s="9" t="inlineStr">
        <is>
          <t>Use High-Quality Tile</t>
        </is>
      </c>
      <c r="C38" t="n">
        <v>2500000</v>
      </c>
      <c r="D38" s="5" t="n"/>
      <c r="E38" s="16">
        <f>C38*D38</f>
        <v/>
      </c>
      <c r="F38" s="5" t="n"/>
      <c r="H38" s="9" t="inlineStr">
        <is>
          <t>Use High-Quality Tile</t>
        </is>
      </c>
      <c r="I38" t="n">
        <v>2500000</v>
      </c>
      <c r="J38" s="5" t="n"/>
      <c r="K38" s="16">
        <f>I38*J38</f>
        <v/>
      </c>
      <c r="L38" s="5" t="n"/>
      <c r="N38" s="9" t="inlineStr">
        <is>
          <t>Use CEO's Coins (Basic)</t>
        </is>
      </c>
      <c r="O38" s="9" t="n">
        <v>1000</v>
      </c>
      <c r="P38" s="10" t="n"/>
      <c r="Q38" s="16">
        <f>O38*P38</f>
        <v/>
      </c>
    </row>
    <row r="39">
      <c r="B39" s="9" t="inlineStr">
        <is>
          <t>Use Premium Sandstone</t>
        </is>
      </c>
      <c r="C39" t="n">
        <v>31250000</v>
      </c>
      <c r="D39" s="5" t="n"/>
      <c r="E39" s="16">
        <f>C39*D39</f>
        <v/>
      </c>
      <c r="F39" s="5" t="n"/>
      <c r="H39" s="9" t="inlineStr">
        <is>
          <t>Use Premium Sandstone</t>
        </is>
      </c>
      <c r="I39" t="n">
        <v>31250000</v>
      </c>
      <c r="J39" s="5" t="n"/>
      <c r="K39" s="16">
        <f>I39*J39</f>
        <v/>
      </c>
      <c r="L39" s="5" t="n"/>
      <c r="N39" s="9" t="inlineStr">
        <is>
          <t>Use CEO's Coins (High-Quality)</t>
        </is>
      </c>
      <c r="O39" s="9" t="n">
        <v>125000</v>
      </c>
      <c r="P39" s="10" t="n"/>
      <c r="Q39" s="16">
        <f>O39*P39</f>
        <v/>
      </c>
    </row>
    <row r="40">
      <c r="B40" s="9" t="inlineStr">
        <is>
          <t>Use Premium Tile</t>
        </is>
      </c>
      <c r="C40" t="n">
        <v>312500000</v>
      </c>
      <c r="D40" s="5" t="n"/>
      <c r="E40" s="16">
        <f>C40*D40</f>
        <v/>
      </c>
      <c r="F40" s="5" t="n"/>
      <c r="H40" s="9" t="inlineStr">
        <is>
          <t>Use Premium Tile</t>
        </is>
      </c>
      <c r="I40" t="n">
        <v>312500000</v>
      </c>
      <c r="J40" s="5" t="n"/>
      <c r="K40" s="16">
        <f>I40*J40</f>
        <v/>
      </c>
      <c r="L40" s="5" t="n"/>
      <c r="N40" s="9" t="inlineStr">
        <is>
          <t>Use CEO's Coins (Premium)</t>
        </is>
      </c>
      <c r="O40" t="n">
        <v>15625000</v>
      </c>
      <c r="P40" s="10" t="n">
        <v>10</v>
      </c>
      <c r="Q40" s="16">
        <f>O40*P40</f>
        <v/>
      </c>
    </row>
    <row r="41">
      <c r="B41" s="9" t="inlineStr">
        <is>
          <t>Use Gold Bar</t>
        </is>
      </c>
      <c r="C41" t="n">
        <v>1</v>
      </c>
      <c r="D41" s="5" t="n"/>
      <c r="E41" s="16">
        <f>C41*D41</f>
        <v/>
      </c>
      <c r="F41" s="5" t="n"/>
      <c r="H41" s="9" t="inlineStr">
        <is>
          <t>Use Gold Bar</t>
        </is>
      </c>
      <c r="I41" t="n">
        <v>1</v>
      </c>
      <c r="J41" s="5" t="n"/>
      <c r="K41" s="16">
        <f>I41*J41</f>
        <v/>
      </c>
      <c r="L41" s="5" t="n"/>
      <c r="N41" s="9" t="inlineStr">
        <is>
          <t>Use Villa Key Basic</t>
        </is>
      </c>
      <c r="O41" t="n">
        <v>10000</v>
      </c>
      <c r="P41" s="5" t="n"/>
      <c r="Q41" s="16">
        <f>O41*P41</f>
        <v/>
      </c>
    </row>
    <row r="42">
      <c r="B42" s="9" t="inlineStr">
        <is>
          <t>Record Single</t>
        </is>
      </c>
      <c r="C42" t="n">
        <v>50000</v>
      </c>
      <c r="D42" s="5" t="n"/>
      <c r="E42" s="16">
        <f>C42*D42</f>
        <v/>
      </c>
      <c r="F42" s="5" t="n"/>
      <c r="H42" s="9" t="inlineStr">
        <is>
          <t>Record Single</t>
        </is>
      </c>
      <c r="I42" t="n">
        <v>50000</v>
      </c>
      <c r="J42" s="5" t="n"/>
      <c r="K42" s="16">
        <f>I42*J42</f>
        <v/>
      </c>
      <c r="L42" s="5" t="n"/>
      <c r="N42" s="9" t="inlineStr">
        <is>
          <t>Use Villa Key High-Quality</t>
        </is>
      </c>
      <c r="O42" t="n">
        <v>1250000</v>
      </c>
      <c r="P42" s="5" t="n"/>
      <c r="Q42" s="16">
        <f>O42*P42</f>
        <v/>
      </c>
    </row>
    <row r="43">
      <c r="B43" s="9" t="inlineStr">
        <is>
          <t>Use EXP Card x24</t>
        </is>
      </c>
      <c r="C43" t="n">
        <v>1</v>
      </c>
      <c r="D43" s="5" t="n"/>
      <c r="E43" s="16">
        <f>(C43*D43)/24</f>
        <v/>
      </c>
      <c r="F43" s="5" t="n"/>
      <c r="H43" s="9" t="inlineStr">
        <is>
          <t>Use EXP Card x24</t>
        </is>
      </c>
      <c r="I43" t="n">
        <v>1</v>
      </c>
      <c r="J43" s="5" t="n"/>
      <c r="K43" s="16">
        <f>(I43*J43)/24</f>
        <v/>
      </c>
      <c r="L43" s="5" t="n"/>
      <c r="N43" s="9" t="inlineStr">
        <is>
          <t>Use Villa Key Premium</t>
        </is>
      </c>
      <c r="O43" t="n">
        <v>156250000</v>
      </c>
      <c r="P43" s="5" t="n"/>
      <c r="Q43" s="16">
        <f>O43*P43</f>
        <v/>
      </c>
    </row>
    <row r="44" ht="16" customHeight="1">
      <c r="B44" s="9" t="inlineStr">
        <is>
          <t>Perform in Concert</t>
        </is>
      </c>
      <c r="C44" t="n">
        <v>10000</v>
      </c>
      <c r="D44" s="5" t="n"/>
      <c r="E44" s="16">
        <f>C44*D44</f>
        <v/>
      </c>
      <c r="F44" s="5" t="n"/>
      <c r="H44" s="9" t="inlineStr">
        <is>
          <t>Perform in Concert</t>
        </is>
      </c>
      <c r="I44" t="n">
        <v>10000</v>
      </c>
      <c r="J44" s="5" t="n"/>
      <c r="K44" s="16">
        <f>I44*J44</f>
        <v/>
      </c>
      <c r="L44" s="5" t="n"/>
      <c r="N44" s="9" t="inlineStr">
        <is>
          <t>Use Gold Bar</t>
        </is>
      </c>
      <c r="O44" t="n">
        <v>1</v>
      </c>
      <c r="P44" s="5" t="n"/>
      <c r="Q44" s="16">
        <f>O44*P44</f>
        <v/>
      </c>
    </row>
    <row r="45">
      <c r="B45" s="9" t="inlineStr">
        <is>
          <t>Perform in Stadium</t>
        </is>
      </c>
      <c r="C45" t="n">
        <v>40000</v>
      </c>
      <c r="D45" s="5" t="n"/>
      <c r="E45" s="16">
        <f>C45*D45</f>
        <v/>
      </c>
      <c r="F45" s="5" t="n"/>
      <c r="H45" s="9" t="inlineStr">
        <is>
          <t>Perform in Stadium</t>
        </is>
      </c>
      <c r="I45" t="n">
        <v>40000</v>
      </c>
      <c r="J45" s="5" t="n"/>
      <c r="K45" s="16">
        <f>I45*J45</f>
        <v/>
      </c>
      <c r="L45" s="5" t="n"/>
      <c r="N45" s="9" t="inlineStr">
        <is>
          <t>Record Single</t>
        </is>
      </c>
      <c r="O45" t="n">
        <v>50000</v>
      </c>
      <c r="P45" s="5" t="n"/>
      <c r="Q45" s="16">
        <f>O45*P45</f>
        <v/>
      </c>
    </row>
    <row r="46" ht="16" customHeight="1">
      <c r="A46" s="13" t="n"/>
      <c r="B46" s="23" t="inlineStr">
        <is>
          <t>Total</t>
        </is>
      </c>
      <c r="C46" s="12" t="n"/>
      <c r="D46" s="13" t="n"/>
      <c r="E46" s="18">
        <f>SUM(E33:E45)</f>
        <v/>
      </c>
      <c r="F46" s="19" t="n"/>
      <c r="G46" s="13" t="n"/>
      <c r="H46" s="23" t="inlineStr">
        <is>
          <t>Total</t>
        </is>
      </c>
      <c r="I46" s="12" t="n"/>
      <c r="J46" s="13" t="n"/>
      <c r="K46" s="18">
        <f>SUM(K33:K45)</f>
        <v/>
      </c>
      <c r="L46" s="19" t="n"/>
      <c r="N46" s="9" t="inlineStr">
        <is>
          <t>Use EXP Card x24</t>
        </is>
      </c>
      <c r="O46" t="n">
        <v>1</v>
      </c>
      <c r="P46" s="5" t="n"/>
      <c r="Q46" s="16">
        <f>(O46*P46)/24</f>
        <v/>
      </c>
    </row>
    <row r="47">
      <c r="A47" s="33" t="inlineStr">
        <is>
          <t>Villa</t>
        </is>
      </c>
      <c r="B47" s="9" t="inlineStr">
        <is>
          <t>Play Beauty Slot Machine</t>
        </is>
      </c>
      <c r="C47" t="n">
        <v>37500</v>
      </c>
      <c r="D47" s="5" t="n"/>
      <c r="E47" s="16">
        <f>D47*C47</f>
        <v/>
      </c>
      <c r="F47" s="5" t="n"/>
      <c r="G47" s="33" t="inlineStr">
        <is>
          <t>Villa</t>
        </is>
      </c>
      <c r="H47" s="9" t="inlineStr">
        <is>
          <t>Play Beauty Slot Machine</t>
        </is>
      </c>
      <c r="I47" t="n">
        <v>37500</v>
      </c>
      <c r="J47" s="5" t="n"/>
      <c r="K47" s="16">
        <f>J47*I47</f>
        <v/>
      </c>
      <c r="L47" s="5" t="n"/>
      <c r="N47" s="9" t="inlineStr">
        <is>
          <t>Perform in Concert</t>
        </is>
      </c>
      <c r="O47" t="n">
        <v>10000</v>
      </c>
      <c r="P47" s="5" t="n"/>
      <c r="Q47" s="16">
        <f>O47*P47</f>
        <v/>
      </c>
    </row>
    <row r="48">
      <c r="B48" s="9" t="inlineStr">
        <is>
          <t>Use Construction Drones</t>
        </is>
      </c>
      <c r="C48" t="n">
        <v>500</v>
      </c>
      <c r="D48" s="10" t="n">
        <v>10</v>
      </c>
      <c r="E48" s="16">
        <f>D48*C48</f>
        <v/>
      </c>
      <c r="F48" s="5" t="n"/>
      <c r="H48" s="9" t="inlineStr">
        <is>
          <t>Use Construction Drones</t>
        </is>
      </c>
      <c r="I48" t="n">
        <v>500</v>
      </c>
      <c r="J48" s="10" t="n">
        <v>10</v>
      </c>
      <c r="K48" s="16">
        <f>J48*I48</f>
        <v/>
      </c>
      <c r="L48" s="5" t="n"/>
      <c r="N48" s="9" t="inlineStr">
        <is>
          <t>Perform in Stadium</t>
        </is>
      </c>
      <c r="O48" t="n">
        <v>40000</v>
      </c>
      <c r="P48" s="5" t="n"/>
      <c r="Q48" s="16">
        <f>O48*P48</f>
        <v/>
      </c>
    </row>
    <row r="49">
      <c r="B49" s="9" t="inlineStr">
        <is>
          <t>Use Villa Design Draft</t>
        </is>
      </c>
      <c r="C49" t="n">
        <v>5000</v>
      </c>
      <c r="D49" s="10" t="n">
        <v>10</v>
      </c>
      <c r="E49" s="16">
        <f>D49*C49</f>
        <v/>
      </c>
      <c r="F49" s="5" t="n"/>
      <c r="H49" s="9" t="inlineStr">
        <is>
          <t>Use Villa Design Draft</t>
        </is>
      </c>
      <c r="I49" t="n">
        <v>5000</v>
      </c>
      <c r="J49" s="10" t="n">
        <v>10</v>
      </c>
      <c r="K49" s="16">
        <f>J49*I49</f>
        <v/>
      </c>
      <c r="L49" s="5" t="n"/>
      <c r="M49" s="26" t="n"/>
      <c r="N49" s="9" t="inlineStr">
        <is>
          <t>Earn 1 Gold Bar in the Hotel</t>
        </is>
      </c>
      <c r="O49" t="n">
        <v>8</v>
      </c>
      <c r="P49" s="5" t="n"/>
      <c r="Q49" s="16">
        <f>O49*P49</f>
        <v/>
      </c>
    </row>
    <row r="50">
      <c r="B50" s="9" t="inlineStr">
        <is>
          <t>Use CEO's Coins Basic</t>
        </is>
      </c>
      <c r="C50" t="n">
        <v>2000</v>
      </c>
      <c r="D50" s="10" t="n">
        <v>10</v>
      </c>
      <c r="E50" s="16">
        <f>D50*C50</f>
        <v/>
      </c>
      <c r="F50" s="5" t="n"/>
      <c r="H50" s="9" t="inlineStr">
        <is>
          <t>Use CEO's Coins Basic</t>
        </is>
      </c>
      <c r="I50" t="n">
        <v>2000</v>
      </c>
      <c r="J50" s="10" t="n">
        <v>10</v>
      </c>
      <c r="K50" s="16">
        <f>J50*I50</f>
        <v/>
      </c>
      <c r="L50" s="5" t="n"/>
      <c r="N50" s="23" t="inlineStr">
        <is>
          <t>Total</t>
        </is>
      </c>
      <c r="O50" s="12" t="n"/>
      <c r="P50" s="13" t="n"/>
      <c r="Q50" s="18">
        <f>SUM(Q28:Q49)</f>
        <v/>
      </c>
    </row>
    <row r="51">
      <c r="B51" s="9" t="inlineStr">
        <is>
          <t>Use Villa Key Basic</t>
        </is>
      </c>
      <c r="C51" t="n">
        <v>20000</v>
      </c>
      <c r="D51" s="10" t="n">
        <v>10</v>
      </c>
      <c r="E51" s="16">
        <f>D51*C51</f>
        <v/>
      </c>
      <c r="F51" s="5" t="n"/>
      <c r="H51" s="9" t="inlineStr">
        <is>
          <t>Use Villa Key Basic</t>
        </is>
      </c>
      <c r="I51" t="n">
        <v>20000</v>
      </c>
      <c r="J51" s="10" t="n">
        <v>10</v>
      </c>
      <c r="K51" s="16">
        <f>J51*I51</f>
        <v/>
      </c>
      <c r="L51" s="5" t="n"/>
      <c r="M51" s="26" t="inlineStr">
        <is>
          <t>Promotion</t>
        </is>
      </c>
      <c r="N51" s="9" t="inlineStr">
        <is>
          <t>Get Demo</t>
        </is>
      </c>
      <c r="O51" s="20" t="n">
        <v>60000</v>
      </c>
      <c r="P51" s="10" t="n">
        <v>10</v>
      </c>
      <c r="Q51" s="16">
        <f>O51*P51</f>
        <v/>
      </c>
    </row>
    <row r="52">
      <c r="B52" s="9" t="inlineStr">
        <is>
          <t>Use CEO's Coins High-Quality</t>
        </is>
      </c>
      <c r="C52" t="n">
        <v>250000</v>
      </c>
      <c r="D52" s="5" t="n"/>
      <c r="E52" s="16">
        <f>D52*C52</f>
        <v/>
      </c>
      <c r="F52" s="5" t="n"/>
      <c r="H52" s="9" t="inlineStr">
        <is>
          <t>Use CEO's Coins High-Quality</t>
        </is>
      </c>
      <c r="I52" t="n">
        <v>250000</v>
      </c>
      <c r="J52" s="5" t="n"/>
      <c r="K52" s="16">
        <f>J52*I52</f>
        <v/>
      </c>
      <c r="L52" s="5" t="n"/>
      <c r="N52" s="9" t="inlineStr">
        <is>
          <t>Interview Artist</t>
        </is>
      </c>
      <c r="O52" s="20" t="n">
        <v>60000</v>
      </c>
      <c r="P52" s="10" t="n">
        <v>10</v>
      </c>
      <c r="Q52" s="16">
        <f>O52*P52</f>
        <v/>
      </c>
    </row>
    <row r="53">
      <c r="B53" s="9" t="inlineStr">
        <is>
          <t>Use Villa Key High-Quality</t>
        </is>
      </c>
      <c r="C53" t="n">
        <v>2500000</v>
      </c>
      <c r="D53" s="5" t="n"/>
      <c r="E53" s="16">
        <f>D53*C53</f>
        <v/>
      </c>
      <c r="F53" s="5" t="n"/>
      <c r="H53" s="9" t="inlineStr">
        <is>
          <t>Use Villa Key High-Quality</t>
        </is>
      </c>
      <c r="I53" t="n">
        <v>2500000</v>
      </c>
      <c r="J53" s="5" t="n"/>
      <c r="K53" s="16">
        <f>J53*I53</f>
        <v/>
      </c>
      <c r="L53" s="5" t="n"/>
      <c r="N53" s="9" t="inlineStr">
        <is>
          <t>Use Asset Coin</t>
        </is>
      </c>
      <c r="O53" s="9" t="n">
        <v>5</v>
      </c>
      <c r="P53" s="10" t="n">
        <v>10</v>
      </c>
      <c r="Q53" s="16">
        <f>O53*P53</f>
        <v/>
      </c>
    </row>
    <row r="54">
      <c r="B54" s="9" t="inlineStr">
        <is>
          <t>Use CEO's Coins Premium</t>
        </is>
      </c>
      <c r="C54" t="n">
        <v>31250000</v>
      </c>
      <c r="D54" s="5" t="n"/>
      <c r="E54" s="16">
        <f>D54*C54</f>
        <v/>
      </c>
      <c r="F54" s="5" t="n"/>
      <c r="H54" s="9" t="inlineStr">
        <is>
          <t>Use CEO's Coins Premium</t>
        </is>
      </c>
      <c r="I54" t="n">
        <v>31250000</v>
      </c>
      <c r="J54" s="5" t="n"/>
      <c r="K54" s="16">
        <f>J54*I54</f>
        <v/>
      </c>
      <c r="L54" s="5" t="n"/>
      <c r="N54" s="9" t="inlineStr">
        <is>
          <t>Use SR Promotion Cards</t>
        </is>
      </c>
      <c r="O54" s="9" t="n">
        <v>1500</v>
      </c>
      <c r="P54" s="10" t="n"/>
      <c r="Q54" s="16">
        <f>O54*P54</f>
        <v/>
      </c>
    </row>
    <row r="55">
      <c r="B55" s="9" t="inlineStr">
        <is>
          <t>Use Villa Key Premium</t>
        </is>
      </c>
      <c r="C55" t="n">
        <v>312500000</v>
      </c>
      <c r="D55" s="5" t="n"/>
      <c r="E55" s="16">
        <f>D55*C55</f>
        <v/>
      </c>
      <c r="F55" s="5" t="n"/>
      <c r="H55" s="9" t="inlineStr">
        <is>
          <t>Use Villa Key Premium</t>
        </is>
      </c>
      <c r="I55" t="n">
        <v>312500000</v>
      </c>
      <c r="J55" s="5" t="n"/>
      <c r="K55" s="16">
        <f>J55*I55</f>
        <v/>
      </c>
      <c r="L55" s="5" t="n"/>
      <c r="N55" s="9" t="inlineStr">
        <is>
          <t>Use SSR Promotion Cards</t>
        </is>
      </c>
      <c r="O55" s="9" t="n">
        <v>4000</v>
      </c>
      <c r="P55" s="10" t="n"/>
      <c r="Q55" s="16">
        <f>O55*P55</f>
        <v/>
      </c>
    </row>
    <row r="56">
      <c r="B56" s="9" t="inlineStr">
        <is>
          <t>Use Gold Bar</t>
        </is>
      </c>
      <c r="C56" t="n">
        <v>1</v>
      </c>
      <c r="D56" s="5" t="n"/>
      <c r="E56" s="16">
        <f>D56*C56</f>
        <v/>
      </c>
      <c r="F56" s="5" t="n"/>
      <c r="H56" s="9" t="inlineStr">
        <is>
          <t>Use Gold Bar</t>
        </is>
      </c>
      <c r="I56" t="n">
        <v>1</v>
      </c>
      <c r="J56" s="5" t="n"/>
      <c r="K56" s="16">
        <f>J56*I56</f>
        <v/>
      </c>
      <c r="L56" s="5" t="n"/>
      <c r="N56" s="9" t="inlineStr">
        <is>
          <t>Use SR Private Photos</t>
        </is>
      </c>
      <c r="O56" s="9" t="n">
        <v>4000</v>
      </c>
      <c r="P56" s="10" t="n"/>
      <c r="Q56" s="16">
        <f>O56*P56</f>
        <v/>
      </c>
    </row>
    <row r="57">
      <c r="B57" s="9" t="inlineStr">
        <is>
          <t>Record Single</t>
        </is>
      </c>
      <c r="C57" t="n">
        <v>50000</v>
      </c>
      <c r="D57" s="5" t="n"/>
      <c r="E57" s="16">
        <f>D57*C57</f>
        <v/>
      </c>
      <c r="F57" s="5" t="n"/>
      <c r="H57" s="9" t="inlineStr">
        <is>
          <t>Record Single</t>
        </is>
      </c>
      <c r="I57" t="n">
        <v>50000</v>
      </c>
      <c r="J57" s="5" t="n"/>
      <c r="K57" s="16">
        <f>J57*I57</f>
        <v/>
      </c>
      <c r="L57" s="5" t="n"/>
      <c r="N57" s="9" t="inlineStr">
        <is>
          <t>Use SSR Private Photos</t>
        </is>
      </c>
      <c r="O57" s="9" t="n">
        <v>25000</v>
      </c>
      <c r="P57" s="10" t="n"/>
      <c r="Q57" s="16">
        <f>O57*P57</f>
        <v/>
      </c>
    </row>
    <row r="58">
      <c r="B58" s="9" t="inlineStr">
        <is>
          <t>Use EXP Card x24</t>
        </is>
      </c>
      <c r="C58" t="n">
        <v>1</v>
      </c>
      <c r="D58" s="5" t="n"/>
      <c r="E58" s="16">
        <f>(D58*C58)/24</f>
        <v/>
      </c>
      <c r="F58" s="5" t="n"/>
      <c r="H58" s="9" t="inlineStr">
        <is>
          <t>Use EXP Card x24</t>
        </is>
      </c>
      <c r="I58" t="n">
        <v>1</v>
      </c>
      <c r="J58" s="5" t="n"/>
      <c r="K58" s="16">
        <f>(J58*I58)/24</f>
        <v/>
      </c>
      <c r="L58" s="5" t="n"/>
      <c r="N58" s="9" t="inlineStr">
        <is>
          <t>Use Gold Bar</t>
        </is>
      </c>
      <c r="O58" t="n">
        <v>1</v>
      </c>
      <c r="P58" s="5" t="n"/>
      <c r="Q58" s="16">
        <f>O58*P58</f>
        <v/>
      </c>
    </row>
    <row r="59" ht="16" customHeight="1">
      <c r="A59" s="12" t="n"/>
      <c r="B59" s="9" t="inlineStr">
        <is>
          <t>Perform in Concert</t>
        </is>
      </c>
      <c r="C59" t="n">
        <v>10000</v>
      </c>
      <c r="D59" s="5" t="n"/>
      <c r="E59" s="16">
        <f>D59*C59</f>
        <v/>
      </c>
      <c r="F59" s="5" t="n"/>
      <c r="G59" s="12" t="n"/>
      <c r="H59" s="9" t="inlineStr">
        <is>
          <t>Perform in Concert</t>
        </is>
      </c>
      <c r="I59" t="n">
        <v>10000</v>
      </c>
      <c r="J59" s="5" t="n"/>
      <c r="K59" s="16">
        <f>J59*I59</f>
        <v/>
      </c>
      <c r="L59" s="5" t="n"/>
      <c r="N59" s="9" t="inlineStr">
        <is>
          <t>Record Single</t>
        </is>
      </c>
      <c r="O59" t="n">
        <v>50000</v>
      </c>
      <c r="P59" s="5" t="n"/>
      <c r="Q59" s="16">
        <f>O59*P59</f>
        <v/>
      </c>
    </row>
    <row r="60">
      <c r="A60" s="26" t="n"/>
      <c r="B60" s="9" t="inlineStr">
        <is>
          <t>Perform in Stadium</t>
        </is>
      </c>
      <c r="C60" t="n">
        <v>40000</v>
      </c>
      <c r="D60" s="5" t="n"/>
      <c r="E60" s="16">
        <f>D60*C60</f>
        <v/>
      </c>
      <c r="F60" s="5" t="n"/>
      <c r="G60" s="26" t="n"/>
      <c r="H60" s="9" t="inlineStr">
        <is>
          <t>Perform in Stadium</t>
        </is>
      </c>
      <c r="I60" t="n">
        <v>40000</v>
      </c>
      <c r="J60" s="5" t="n"/>
      <c r="K60" s="16">
        <f>J60*I60</f>
        <v/>
      </c>
      <c r="L60" s="5" t="n"/>
      <c r="N60" s="9" t="inlineStr">
        <is>
          <t>Use EXP Card x24</t>
        </is>
      </c>
      <c r="O60" t="n">
        <v>1</v>
      </c>
      <c r="P60" s="5" t="n"/>
      <c r="Q60" s="16">
        <f>(O60*P60)/24</f>
        <v/>
      </c>
    </row>
    <row r="61" ht="16" customHeight="1">
      <c r="A61" s="13" t="n"/>
      <c r="B61" s="23" t="inlineStr">
        <is>
          <t>Total</t>
        </is>
      </c>
      <c r="C61" s="12" t="n"/>
      <c r="D61" s="13" t="n"/>
      <c r="E61" s="18">
        <f>SUM(E47:E60)</f>
        <v/>
      </c>
      <c r="F61" s="19" t="n"/>
      <c r="G61" s="13" t="n"/>
      <c r="H61" s="23" t="inlineStr">
        <is>
          <t>Total</t>
        </is>
      </c>
      <c r="I61" s="12" t="n"/>
      <c r="J61" s="13" t="n"/>
      <c r="K61" s="18">
        <f>SUM(K47:K60)</f>
        <v/>
      </c>
      <c r="L61" s="19" t="n"/>
      <c r="N61" s="9" t="inlineStr">
        <is>
          <t>Perform in Concert</t>
        </is>
      </c>
      <c r="O61" t="n">
        <v>10000</v>
      </c>
      <c r="P61" s="5" t="n"/>
      <c r="Q61" s="16">
        <f>O61*P61</f>
        <v/>
      </c>
    </row>
    <row r="62">
      <c r="A62" s="26" t="inlineStr">
        <is>
          <t>Artist</t>
        </is>
      </c>
      <c r="B62" s="9" t="inlineStr">
        <is>
          <t>Play Beauty Slot Machine</t>
        </is>
      </c>
      <c r="C62" t="n">
        <v>37500</v>
      </c>
      <c r="D62" s="5" t="n"/>
      <c r="E62" s="16">
        <f>D62*C62</f>
        <v/>
      </c>
      <c r="F62" s="5" t="n"/>
      <c r="G62" s="26" t="inlineStr">
        <is>
          <t>Artist</t>
        </is>
      </c>
      <c r="H62" s="9" t="inlineStr">
        <is>
          <t>Play Beauty Slot Machine</t>
        </is>
      </c>
      <c r="I62" t="n">
        <v>37500</v>
      </c>
      <c r="J62" s="5" t="n"/>
      <c r="K62" s="16">
        <f>J62*I62</f>
        <v/>
      </c>
      <c r="L62" s="5" t="n"/>
      <c r="N62" s="9" t="inlineStr">
        <is>
          <t>Perform in Stadium</t>
        </is>
      </c>
      <c r="O62" t="n">
        <v>40000</v>
      </c>
      <c r="P62" s="5" t="n"/>
      <c r="Q62" s="16">
        <f>O62*P62</f>
        <v/>
      </c>
    </row>
    <row r="63">
      <c r="B63" s="9" t="inlineStr">
        <is>
          <t>Use Asset Coins</t>
        </is>
      </c>
      <c r="C63" t="n">
        <v>5</v>
      </c>
      <c r="D63" s="10" t="n">
        <v>10</v>
      </c>
      <c r="E63" s="16">
        <f>D63*C63</f>
        <v/>
      </c>
      <c r="F63" s="5" t="n"/>
      <c r="H63" s="9" t="inlineStr">
        <is>
          <t>Use Asset Coins</t>
        </is>
      </c>
      <c r="I63" t="n">
        <v>5</v>
      </c>
      <c r="J63" s="10" t="n">
        <v>10</v>
      </c>
      <c r="K63" s="16">
        <f>J63*I63</f>
        <v/>
      </c>
      <c r="L63" s="5" t="n"/>
      <c r="N63" s="9" t="inlineStr">
        <is>
          <t>Earn 1 Gold Bar in the Hotel</t>
        </is>
      </c>
      <c r="O63" t="n">
        <v>8</v>
      </c>
      <c r="P63" s="5" t="n"/>
      <c r="Q63" s="16">
        <f>O63*P63</f>
        <v/>
      </c>
    </row>
    <row r="64">
      <c r="B64" s="9" t="inlineStr">
        <is>
          <t>Use SR Promotion Cards</t>
        </is>
      </c>
      <c r="C64" t="n">
        <v>1500</v>
      </c>
      <c r="D64" s="10" t="n">
        <v>10</v>
      </c>
      <c r="E64" s="16">
        <f>D64*C64</f>
        <v/>
      </c>
      <c r="F64" s="5" t="n"/>
      <c r="H64" s="9" t="inlineStr">
        <is>
          <t>Use SR Promotion Cards</t>
        </is>
      </c>
      <c r="I64" t="n">
        <v>1500</v>
      </c>
      <c r="J64" s="10" t="n">
        <v>10</v>
      </c>
      <c r="K64" s="16">
        <f>J64*I64</f>
        <v/>
      </c>
      <c r="L64" s="5" t="n"/>
      <c r="N64" s="23" t="inlineStr">
        <is>
          <t>Total</t>
        </is>
      </c>
      <c r="O64" s="12" t="n"/>
      <c r="P64" s="5" t="n"/>
      <c r="Q64" s="21">
        <f>SUM(Q51:Q63)</f>
        <v/>
      </c>
    </row>
    <row r="65">
      <c r="B65" s="9" t="inlineStr">
        <is>
          <t>Use SSR Promotion Cards</t>
        </is>
      </c>
      <c r="C65" t="n">
        <v>4000</v>
      </c>
      <c r="D65" s="10" t="n">
        <v>10</v>
      </c>
      <c r="E65" s="16">
        <f>D65*C65</f>
        <v/>
      </c>
      <c r="F65" s="5" t="n"/>
      <c r="H65" s="9" t="inlineStr">
        <is>
          <t>Use SSR Promotion Cards</t>
        </is>
      </c>
      <c r="I65" t="n">
        <v>4000</v>
      </c>
      <c r="J65" s="10" t="n">
        <v>10</v>
      </c>
      <c r="K65" s="16">
        <f>J65*I65</f>
        <v/>
      </c>
      <c r="L65" s="5" t="n"/>
      <c r="N65" s="25" t="inlineStr">
        <is>
          <t>APPROXIMATE TOTAL FOR ALL DAYS</t>
        </is>
      </c>
      <c r="Q65" s="16" t="n"/>
    </row>
    <row r="66">
      <c r="B66" s="9" t="inlineStr">
        <is>
          <t>Use SR Private Photo</t>
        </is>
      </c>
      <c r="C66" t="n">
        <v>4000</v>
      </c>
      <c r="D66" s="10" t="n">
        <v>10</v>
      </c>
      <c r="E66" s="16">
        <f>D66*C66</f>
        <v/>
      </c>
      <c r="F66" s="5" t="n"/>
      <c r="H66" s="9" t="inlineStr">
        <is>
          <t>Use SR Private Photo</t>
        </is>
      </c>
      <c r="I66" t="n">
        <v>4000</v>
      </c>
      <c r="J66" s="10" t="n">
        <v>10</v>
      </c>
      <c r="K66" s="16">
        <f>J66*I66</f>
        <v/>
      </c>
      <c r="L66" s="5" t="n"/>
      <c r="N66" s="12" t="n"/>
      <c r="O66" s="12" t="n"/>
      <c r="P66" s="12" t="n"/>
      <c r="Q66" s="11">
        <f>SUM(Q64+Q50+Q27)</f>
        <v/>
      </c>
    </row>
    <row r="67">
      <c r="B67" s="9" t="inlineStr">
        <is>
          <t>Use SSR Private Photo</t>
        </is>
      </c>
      <c r="C67" t="n">
        <v>25000</v>
      </c>
      <c r="D67" s="10" t="n">
        <v>10</v>
      </c>
      <c r="E67" s="16">
        <f>D67*C67</f>
        <v/>
      </c>
      <c r="F67" s="5" t="n"/>
      <c r="H67" s="9" t="inlineStr">
        <is>
          <t>Use SSR Private Photo</t>
        </is>
      </c>
      <c r="I67" t="n">
        <v>25000</v>
      </c>
      <c r="J67" s="10" t="n">
        <v>10</v>
      </c>
      <c r="K67" s="16">
        <f>J67*I67</f>
        <v/>
      </c>
      <c r="L67" s="5" t="n"/>
    </row>
    <row r="68">
      <c r="B68" s="9" t="inlineStr">
        <is>
          <t>Use Gold Bar</t>
        </is>
      </c>
      <c r="C68" t="n">
        <v>1</v>
      </c>
      <c r="D68" s="10" t="n">
        <v>10</v>
      </c>
      <c r="E68" s="16">
        <f>D68*C68</f>
        <v/>
      </c>
      <c r="F68" s="5" t="n"/>
      <c r="H68" s="9" t="inlineStr">
        <is>
          <t>Use Gold Bar</t>
        </is>
      </c>
      <c r="I68" t="n">
        <v>1</v>
      </c>
      <c r="J68" s="10" t="n">
        <v>10</v>
      </c>
      <c r="K68" s="16">
        <f>J68*I68</f>
        <v/>
      </c>
      <c r="L68" s="5" t="n"/>
    </row>
    <row r="69">
      <c r="B69" s="9" t="inlineStr">
        <is>
          <t>Record Single</t>
        </is>
      </c>
      <c r="C69" t="n">
        <v>50000</v>
      </c>
      <c r="D69" s="10" t="n">
        <v>10</v>
      </c>
      <c r="E69" s="16">
        <f>D69*C69</f>
        <v/>
      </c>
      <c r="F69" s="5" t="n"/>
      <c r="H69" s="9" t="inlineStr">
        <is>
          <t>Record Single</t>
        </is>
      </c>
      <c r="I69" t="n">
        <v>50000</v>
      </c>
      <c r="J69" s="10" t="n">
        <v>10</v>
      </c>
      <c r="K69" s="16">
        <f>J69*I69</f>
        <v/>
      </c>
      <c r="L69" s="5" t="n"/>
    </row>
    <row r="70">
      <c r="B70" s="9" t="inlineStr">
        <is>
          <t>Use EXP Card x24</t>
        </is>
      </c>
      <c r="C70" t="n">
        <v>1</v>
      </c>
      <c r="D70" s="10" t="n">
        <v>10</v>
      </c>
      <c r="E70" s="16">
        <f>(D70*C70)/24</f>
        <v/>
      </c>
      <c r="F70" s="5" t="n"/>
      <c r="H70" s="9" t="inlineStr">
        <is>
          <t>Use EXP Card x24</t>
        </is>
      </c>
      <c r="I70" t="n">
        <v>1</v>
      </c>
      <c r="J70" s="10" t="n">
        <v>10</v>
      </c>
      <c r="K70" s="16">
        <f>(J70*I70)/24</f>
        <v/>
      </c>
      <c r="L70" s="5" t="n"/>
    </row>
    <row r="71" ht="16" customHeight="1">
      <c r="B71" s="9" t="inlineStr">
        <is>
          <t>Perform in Concert</t>
        </is>
      </c>
      <c r="C71" t="n">
        <v>10000</v>
      </c>
      <c r="D71" s="10" t="n"/>
      <c r="E71" s="16">
        <f>D71*C71</f>
        <v/>
      </c>
      <c r="F71" s="5" t="n"/>
      <c r="H71" s="9" t="inlineStr">
        <is>
          <t>Perform in Concert</t>
        </is>
      </c>
      <c r="I71" t="n">
        <v>10000</v>
      </c>
      <c r="J71" s="5" t="n"/>
      <c r="K71" s="16">
        <f>J71*I71</f>
        <v/>
      </c>
      <c r="L71" s="5" t="n"/>
    </row>
    <row r="72">
      <c r="B72" s="9" t="inlineStr">
        <is>
          <t>Perform in Stadium</t>
        </is>
      </c>
      <c r="C72" t="n">
        <v>40000</v>
      </c>
      <c r="D72" s="10" t="n"/>
      <c r="E72" s="16">
        <f>D72*C72</f>
        <v/>
      </c>
      <c r="F72" s="5" t="n"/>
      <c r="H72" s="9" t="inlineStr">
        <is>
          <t>Perform in Stadium</t>
        </is>
      </c>
      <c r="I72" t="n">
        <v>40000</v>
      </c>
      <c r="J72" s="5" t="n"/>
      <c r="K72" s="16">
        <f>J72*I72</f>
        <v/>
      </c>
      <c r="L72" s="5" t="n"/>
    </row>
    <row r="73" ht="16" customHeight="1">
      <c r="B73" s="23" t="inlineStr">
        <is>
          <t>Total</t>
        </is>
      </c>
      <c r="C73" s="12" t="n"/>
      <c r="D73" s="5" t="n"/>
      <c r="E73" s="21">
        <f>SUM(E62:E72)</f>
        <v/>
      </c>
      <c r="F73" s="22" t="n"/>
      <c r="H73" s="23" t="inlineStr">
        <is>
          <t>Total</t>
        </is>
      </c>
      <c r="I73" s="12" t="n"/>
      <c r="J73" s="5" t="n"/>
      <c r="K73" s="21">
        <f>SUM(K62:K72)</f>
        <v/>
      </c>
      <c r="L73" s="22" t="n"/>
    </row>
    <row r="74">
      <c r="A74" s="26" t="inlineStr">
        <is>
          <t>Battle</t>
        </is>
      </c>
      <c r="B74" s="9" t="inlineStr">
        <is>
          <t>Acquire x1 Fans with single</t>
        </is>
      </c>
      <c r="C74" t="n">
        <v>12</v>
      </c>
      <c r="D74" s="5" t="n"/>
      <c r="E74" s="16">
        <f>D74*C74</f>
        <v/>
      </c>
      <c r="F74" s="5" t="n"/>
      <c r="G74" s="26" t="inlineStr">
        <is>
          <t>Battle</t>
        </is>
      </c>
      <c r="H74" s="9" t="inlineStr">
        <is>
          <t>Acquire x1 Fans with single</t>
        </is>
      </c>
      <c r="I74" t="n">
        <v>12</v>
      </c>
      <c r="J74" s="5" t="n"/>
      <c r="K74" s="16">
        <f>J74*I74</f>
        <v/>
      </c>
      <c r="L74" s="5" t="n"/>
    </row>
    <row r="75">
      <c r="B75" s="9" t="inlineStr">
        <is>
          <t>Defeat 1 enemy Fans</t>
        </is>
      </c>
      <c r="C75" t="n">
        <v>12</v>
      </c>
      <c r="D75" s="5" t="n"/>
      <c r="E75" s="16">
        <f>D75*C75</f>
        <v/>
      </c>
      <c r="F75" s="5" t="n"/>
      <c r="H75" s="9" t="inlineStr">
        <is>
          <t>Defeat 1 enemy Fans</t>
        </is>
      </c>
      <c r="I75" t="n">
        <v>12</v>
      </c>
      <c r="J75" s="5" t="n"/>
      <c r="K75" s="16">
        <f>J75*I75</f>
        <v/>
      </c>
      <c r="L75" s="5" t="n"/>
    </row>
    <row r="76">
      <c r="B76" s="9" t="inlineStr">
        <is>
          <t>Play Beauty Slot Machine</t>
        </is>
      </c>
      <c r="C76" t="n">
        <v>37500</v>
      </c>
      <c r="D76" s="5" t="n"/>
      <c r="E76" s="16">
        <f>D76*C76</f>
        <v/>
      </c>
      <c r="F76" s="5" t="n"/>
      <c r="H76" s="9" t="inlineStr">
        <is>
          <t>Play Beauty Slot Machine</t>
        </is>
      </c>
      <c r="I76" t="n">
        <v>37500</v>
      </c>
      <c r="J76" s="5" t="n"/>
      <c r="K76" s="16">
        <f>J76*I76</f>
        <v/>
      </c>
      <c r="L76" s="5" t="n"/>
    </row>
    <row r="77">
      <c r="B77" s="9" t="inlineStr">
        <is>
          <t>Use EXP Card x24</t>
        </is>
      </c>
      <c r="C77" t="n">
        <v>1</v>
      </c>
      <c r="D77" s="5" t="n"/>
      <c r="E77" s="16">
        <f>D77*C77</f>
        <v/>
      </c>
      <c r="F77" s="5" t="n"/>
      <c r="H77" s="9" t="inlineStr">
        <is>
          <t>Use EXP Card x24</t>
        </is>
      </c>
      <c r="I77" t="n">
        <v>1</v>
      </c>
      <c r="J77" s="5" t="n"/>
      <c r="K77" s="16">
        <f>J77*I77</f>
        <v/>
      </c>
      <c r="L77" s="5" t="n"/>
    </row>
    <row r="78">
      <c r="B78" s="9" t="inlineStr">
        <is>
          <t>Record Single</t>
        </is>
      </c>
      <c r="C78" t="n">
        <v>50000</v>
      </c>
      <c r="D78" s="5" t="n"/>
      <c r="E78" s="16">
        <f>D78*C78</f>
        <v/>
      </c>
      <c r="F78" s="5" t="n"/>
      <c r="H78" s="9" t="inlineStr">
        <is>
          <t>Record Single</t>
        </is>
      </c>
      <c r="I78" t="n">
        <v>50000</v>
      </c>
      <c r="J78" s="5" t="n"/>
      <c r="K78" s="16">
        <f>J78*I78</f>
        <v/>
      </c>
      <c r="L78" s="5" t="n"/>
    </row>
    <row r="79">
      <c r="B79" s="9" t="inlineStr">
        <is>
          <t>Use Gold Bar</t>
        </is>
      </c>
      <c r="C79" t="n">
        <v>1</v>
      </c>
      <c r="D79" s="5" t="n"/>
      <c r="E79" s="16">
        <f>D79*C79</f>
        <v/>
      </c>
      <c r="F79" s="5" t="n"/>
      <c r="H79" s="9" t="inlineStr">
        <is>
          <t>Use Gold Bar</t>
        </is>
      </c>
      <c r="I79" t="n">
        <v>1</v>
      </c>
      <c r="J79" s="5" t="n"/>
      <c r="K79" s="16">
        <f>J79*I79</f>
        <v/>
      </c>
      <c r="L79" s="5" t="n"/>
    </row>
    <row r="80">
      <c r="B80" s="9" t="inlineStr">
        <is>
          <t>Perform in Concert</t>
        </is>
      </c>
      <c r="C80" t="n">
        <v>10000</v>
      </c>
      <c r="D80" s="5" t="n"/>
      <c r="E80" s="16">
        <f>D80*C80</f>
        <v/>
      </c>
      <c r="F80" s="5" t="n"/>
      <c r="H80" s="9" t="inlineStr">
        <is>
          <t>Perform in Concert</t>
        </is>
      </c>
      <c r="I80" t="n">
        <v>10000</v>
      </c>
      <c r="J80" s="5" t="n"/>
      <c r="K80" s="16">
        <f>J80*I80</f>
        <v/>
      </c>
      <c r="L80" s="5" t="n"/>
    </row>
    <row r="81">
      <c r="B81" s="9" t="inlineStr">
        <is>
          <t>Perform in Stadium</t>
        </is>
      </c>
      <c r="C81" t="n">
        <v>40000</v>
      </c>
      <c r="D81" s="5" t="n"/>
      <c r="E81" s="16">
        <f>D81*C81</f>
        <v/>
      </c>
      <c r="F81" s="5" t="n"/>
      <c r="H81" s="9" t="inlineStr">
        <is>
          <t>Perform in Stadium</t>
        </is>
      </c>
      <c r="I81" t="n">
        <v>40000</v>
      </c>
      <c r="J81" s="5" t="n"/>
      <c r="K81" s="16">
        <f>J81*I81</f>
        <v/>
      </c>
      <c r="L81" s="5" t="n"/>
    </row>
    <row r="82">
      <c r="B82" s="9" t="inlineStr">
        <is>
          <t>Earn Gold Bar in the Hotel</t>
        </is>
      </c>
      <c r="C82" t="n">
        <v>8</v>
      </c>
      <c r="D82" s="5" t="n"/>
      <c r="E82" s="16">
        <f>D82*C82</f>
        <v/>
      </c>
      <c r="F82" s="5" t="n"/>
      <c r="H82" s="9" t="inlineStr">
        <is>
          <t>Earn Gold Bar in the Hotel</t>
        </is>
      </c>
      <c r="I82" t="n">
        <v>8</v>
      </c>
      <c r="J82" s="5" t="n"/>
      <c r="K82" s="16">
        <f>J82*I82</f>
        <v/>
      </c>
      <c r="L82" s="5" t="n"/>
    </row>
    <row r="83">
      <c r="B83" s="9" t="inlineStr">
        <is>
          <t>Use Blueprint point</t>
        </is>
      </c>
      <c r="C83" t="n">
        <v>500</v>
      </c>
      <c r="D83" s="5" t="n"/>
      <c r="E83" s="16">
        <f>D83*C83</f>
        <v/>
      </c>
      <c r="F83" s="5" t="n"/>
      <c r="H83" s="9" t="inlineStr">
        <is>
          <t>Use Blueprint point</t>
        </is>
      </c>
      <c r="I83" t="n">
        <v>500</v>
      </c>
      <c r="J83" s="5" t="n"/>
      <c r="K83" s="16">
        <f>J83*I83</f>
        <v/>
      </c>
      <c r="L83" s="5" t="n"/>
    </row>
    <row r="84">
      <c r="B84" s="9" t="inlineStr">
        <is>
          <t>Get Demo</t>
        </is>
      </c>
      <c r="C84" t="n">
        <v>60000</v>
      </c>
      <c r="D84" s="5" t="n"/>
      <c r="E84" s="16">
        <f>D84*C84</f>
        <v/>
      </c>
      <c r="F84" s="5" t="n"/>
      <c r="H84" s="9" t="inlineStr">
        <is>
          <t>Get Demo</t>
        </is>
      </c>
      <c r="I84" t="n">
        <v>60000</v>
      </c>
      <c r="J84" s="5" t="n"/>
      <c r="K84" s="16">
        <f>J84*I84</f>
        <v/>
      </c>
      <c r="L84" s="5" t="n"/>
    </row>
    <row r="85">
      <c r="B85" s="23" t="inlineStr">
        <is>
          <t>Total</t>
        </is>
      </c>
      <c r="C85" s="12" t="n"/>
      <c r="D85" s="5" t="n"/>
      <c r="E85" s="16">
        <f>SUM(E74:E84)</f>
        <v/>
      </c>
      <c r="F85" s="5" t="n"/>
      <c r="H85" s="23" t="inlineStr">
        <is>
          <t>Total</t>
        </is>
      </c>
      <c r="I85" s="12" t="n"/>
      <c r="J85" s="5" t="n"/>
      <c r="K85" s="16">
        <f>SUM(K74:K84)</f>
        <v/>
      </c>
      <c r="L85" s="5" t="n"/>
    </row>
    <row r="86">
      <c r="B86" s="25" t="inlineStr">
        <is>
          <t>APPROXIMATE TOTAL FOR ALL DAYS</t>
        </is>
      </c>
      <c r="E86" s="16" t="n"/>
      <c r="F86" s="5" t="n"/>
      <c r="H86" s="25" t="inlineStr">
        <is>
          <t>APPROXIMATE TOTAL FOR ALL DAYS</t>
        </is>
      </c>
      <c r="K86" s="16" t="n"/>
      <c r="L86" s="5" t="n"/>
    </row>
    <row r="87">
      <c r="B87" s="12" t="n"/>
      <c r="C87" s="12" t="n"/>
      <c r="D87" s="12" t="n"/>
      <c r="E87" s="11">
        <f>SUM(E85+E73+E61+E46+E32+E19)</f>
        <v/>
      </c>
      <c r="F87" s="10" t="n"/>
      <c r="H87" s="12" t="n"/>
      <c r="I87" s="12" t="n"/>
      <c r="J87" s="12" t="n"/>
      <c r="K87" s="11">
        <f>SUM(K85+K73+K61+K46+K32+K19)</f>
        <v/>
      </c>
      <c r="L87" s="10" t="n"/>
    </row>
  </sheetData>
  <mergeCells count="40">
    <mergeCell ref="N50:O50"/>
    <mergeCell ref="M51:M63"/>
    <mergeCell ref="A74:A84"/>
    <mergeCell ref="B46:C46"/>
    <mergeCell ref="A6:A18"/>
    <mergeCell ref="G62:G72"/>
    <mergeCell ref="M1:Q1"/>
    <mergeCell ref="H73:I73"/>
    <mergeCell ref="H46:I46"/>
    <mergeCell ref="G74:G84"/>
    <mergeCell ref="B61:C61"/>
    <mergeCell ref="G6:G18"/>
    <mergeCell ref="G4:I4"/>
    <mergeCell ref="A33:A45"/>
    <mergeCell ref="H85:I85"/>
    <mergeCell ref="G33:G45"/>
    <mergeCell ref="H61:I61"/>
    <mergeCell ref="B86:D87"/>
    <mergeCell ref="B73:C73"/>
    <mergeCell ref="N64:O64"/>
    <mergeCell ref="A3:Q3"/>
    <mergeCell ref="H32:I32"/>
    <mergeCell ref="B19:C19"/>
    <mergeCell ref="M4:O4"/>
    <mergeCell ref="B4:D4"/>
    <mergeCell ref="A47:A59"/>
    <mergeCell ref="H19:I19"/>
    <mergeCell ref="M6:M26"/>
    <mergeCell ref="G47:G59"/>
    <mergeCell ref="A62:A72"/>
    <mergeCell ref="B1:E1"/>
    <mergeCell ref="G1:K1"/>
    <mergeCell ref="M28:M48"/>
    <mergeCell ref="B85:C85"/>
    <mergeCell ref="B32:C32"/>
    <mergeCell ref="N27:O27"/>
    <mergeCell ref="A20:A31"/>
    <mergeCell ref="G20:G31"/>
    <mergeCell ref="N65:P66"/>
    <mergeCell ref="H86:J87"/>
  </mergeCells>
  <hyperlinks>
    <hyperlink ref="B1" location="Sheet1!B4" tooltip="Jump to TOP CEO EVENT"/>
    <hyperlink ref="G1" location="Sheet1!G4" tooltip="Jump to ULTIMATE CEO EVENT"/>
    <hyperlink ref="M1" location="Sheet1!M4" tooltip="Jump to WARM UP EVEN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2026-03-04T16:24:25Z</dcterms:created>
  <dcterms:modified xsi:type="dcterms:W3CDTF">2026-03-04T20:40:00Z</dcterms:modified>
  <cp:lastModifiedBy>Microsoft Office User</cp:lastModifiedBy>
</cp:coreProperties>
</file>